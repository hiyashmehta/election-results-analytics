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9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1  Khundrakpam (GEN)" sheetId="2" r:id="rId1"/>
    <sheet name="2  Heingang (GEN)" sheetId="3" r:id="rId2"/>
    <sheet name="3  Khurai (GEN)" sheetId="4" r:id="rId3"/>
    <sheet name="4  Kshetrigao " sheetId="5" r:id="rId4"/>
    <sheet name="5  Thongju " sheetId="6" r:id="rId5"/>
    <sheet name="6  Keirao " sheetId="7" r:id="rId6"/>
    <sheet name="7  Andro " sheetId="8" r:id="rId7"/>
    <sheet name="8  Lamlai " sheetId="9" r:id="rId8"/>
    <sheet name="9  Thangmeiband " sheetId="10" r:id="rId9"/>
    <sheet name="10  Uripok " sheetId="11" r:id="rId10"/>
    <sheet name="11  Sagolband " sheetId="12" r:id="rId11"/>
    <sheet name="12  Keishamthong " sheetId="13" r:id="rId12"/>
    <sheet name="13  Singjamei " sheetId="14" r:id="rId13"/>
    <sheet name="14  Yaiskul " sheetId="15" r:id="rId14"/>
    <sheet name="15  Wangkhei " sheetId="16" r:id="rId15"/>
    <sheet name="16  Sekmai " sheetId="17" r:id="rId16"/>
    <sheet name="17  Lamsang " sheetId="18" r:id="rId17"/>
    <sheet name="18  Konthoujam " sheetId="19" r:id="rId18"/>
    <sheet name="19  Patsoi " sheetId="20" r:id="rId19"/>
    <sheet name="20  Langthabal " sheetId="21" r:id="rId20"/>
    <sheet name="21  Naoriya pakhanglakpa " sheetId="22" r:id="rId21"/>
    <sheet name="22  Wangoi " sheetId="23" r:id="rId22"/>
    <sheet name="23  Mayang imphal " sheetId="24" r:id="rId23"/>
    <sheet name="24  Nambol " sheetId="25" r:id="rId24"/>
    <sheet name="25  Oinam " sheetId="26" r:id="rId25"/>
    <sheet name="26  Bishnupur " sheetId="27" r:id="rId26"/>
    <sheet name="27  Moirang " sheetId="28" r:id="rId27"/>
    <sheet name="28  Thanga " sheetId="29" r:id="rId28"/>
    <sheet name="29  Kumbi " sheetId="30" r:id="rId29"/>
    <sheet name="30  Lilong " sheetId="31" r:id="rId30"/>
    <sheet name="31  Thoubal " sheetId="32" r:id="rId31"/>
    <sheet name="32  Wangkhem " sheetId="33" r:id="rId32"/>
    <sheet name="33  Heirok " sheetId="34" r:id="rId33"/>
    <sheet name="34  Wangjing tentha " sheetId="35" r:id="rId34"/>
    <sheet name="35  Khangabok " sheetId="36" r:id="rId35"/>
    <sheet name="36  Wabgai " sheetId="37" r:id="rId36"/>
    <sheet name="37  Kakching " sheetId="38" r:id="rId37"/>
    <sheet name="38  Hiyanglam " sheetId="39" r:id="rId38"/>
    <sheet name="39  Sugnu " sheetId="40" r:id="rId39"/>
    <sheet name="40  Jiribam " sheetId="41" r:id="rId40"/>
    <sheet name="41  Chandel (st) " sheetId="42" r:id="rId41"/>
    <sheet name="42  Tengnoupal (st) " sheetId="43" r:id="rId42"/>
    <sheet name="43  Phungyar (st) " sheetId="44" r:id="rId43"/>
    <sheet name="44  Ukhrul (st) " sheetId="45" r:id="rId44"/>
    <sheet name="45  Chingai (st) " sheetId="46" r:id="rId45"/>
    <sheet name="46  Saikul (st) " sheetId="47" r:id="rId46"/>
    <sheet name="47  Karong (st) " sheetId="48" r:id="rId47"/>
    <sheet name="48  Mao (st) " sheetId="49" r:id="rId48"/>
    <sheet name="49  Tadubi (st) " sheetId="50" r:id="rId49"/>
    <sheet name="50  Kangpokpi (Gen) " sheetId="51" r:id="rId50"/>
    <sheet name="51  Saitu (ST) " sheetId="52" r:id="rId51"/>
    <sheet name="52  Tamei (ST) " sheetId="53" r:id="rId52"/>
    <sheet name="53  Tamenglong (ST) " sheetId="54" r:id="rId53"/>
    <sheet name="54  Nungba (ST) " sheetId="55" r:id="rId54"/>
    <sheet name="55  Tipaimukh (st) " sheetId="56" r:id="rId55"/>
    <sheet name="56  Thanlon (ST) " sheetId="57" r:id="rId56"/>
    <sheet name="57  Henglep (ST) " sheetId="58" r:id="rId57"/>
    <sheet name="58  Churachandpur (ST) " sheetId="59" r:id="rId58"/>
    <sheet name="59  Saikot (ST) " sheetId="60" r:id="rId59"/>
    <sheet name="60  Singhat (ST) " sheetId="61" r:id="rId60"/>
  </sheets>
  <calcPr calcId="125725"/>
</workbook>
</file>

<file path=xl/calcChain.xml><?xml version="1.0" encoding="utf-8"?>
<calcChain xmlns="http://schemas.openxmlformats.org/spreadsheetml/2006/main">
  <c r="J5" i="2"/>
  <c r="J6"/>
  <c r="J7"/>
  <c r="D8"/>
  <c r="F8"/>
  <c r="H8"/>
  <c r="J8"/>
  <c r="J9"/>
  <c r="J12"/>
  <c r="J13"/>
  <c r="J14"/>
  <c r="D15"/>
  <c r="F15"/>
  <c r="H15"/>
  <c r="J15" s="1"/>
  <c r="J23" s="1"/>
  <c r="J18"/>
  <c r="J19"/>
  <c r="J22"/>
  <c r="C28" s="1"/>
  <c r="J5" i="3"/>
  <c r="J6"/>
  <c r="J7"/>
  <c r="D8"/>
  <c r="F8"/>
  <c r="H8"/>
  <c r="J8"/>
  <c r="J9"/>
  <c r="J12"/>
  <c r="J13"/>
  <c r="J14"/>
  <c r="D15"/>
  <c r="F15"/>
  <c r="H15"/>
  <c r="J15"/>
  <c r="J18"/>
  <c r="J19"/>
  <c r="J22"/>
  <c r="C28" s="1"/>
  <c r="J23"/>
  <c r="J5" i="4"/>
  <c r="J6"/>
  <c r="J7"/>
  <c r="D8"/>
  <c r="F8"/>
  <c r="H8"/>
  <c r="J8"/>
  <c r="J9"/>
  <c r="J12"/>
  <c r="J13"/>
  <c r="J14"/>
  <c r="D15"/>
  <c r="F15"/>
  <c r="H15"/>
  <c r="J15"/>
  <c r="J18"/>
  <c r="J19"/>
  <c r="J22"/>
  <c r="C28" s="1"/>
  <c r="J23"/>
  <c r="J5" i="5"/>
  <c r="J6"/>
  <c r="J7"/>
  <c r="D8"/>
  <c r="F8"/>
  <c r="H8"/>
  <c r="J8"/>
  <c r="J9"/>
  <c r="J12"/>
  <c r="J13"/>
  <c r="J14"/>
  <c r="D15"/>
  <c r="F15"/>
  <c r="H15"/>
  <c r="J15"/>
  <c r="J18"/>
  <c r="J19"/>
  <c r="J22"/>
  <c r="C28" s="1"/>
  <c r="J23"/>
  <c r="J5" i="6"/>
  <c r="J6"/>
  <c r="J7"/>
  <c r="D8"/>
  <c r="F8"/>
  <c r="H8"/>
  <c r="J8"/>
  <c r="J9"/>
  <c r="J12"/>
  <c r="J13"/>
  <c r="J14"/>
  <c r="D15"/>
  <c r="F15"/>
  <c r="H15"/>
  <c r="J15"/>
  <c r="J18"/>
  <c r="J19"/>
  <c r="J22"/>
  <c r="C28" s="1"/>
  <c r="J5" i="7"/>
  <c r="J6"/>
  <c r="J7"/>
  <c r="D8"/>
  <c r="F8"/>
  <c r="H8"/>
  <c r="J8"/>
  <c r="J9"/>
  <c r="J12"/>
  <c r="J13"/>
  <c r="J14"/>
  <c r="D15"/>
  <c r="F15"/>
  <c r="H15"/>
  <c r="J15" s="1"/>
  <c r="J18"/>
  <c r="J19"/>
  <c r="J22" s="1"/>
  <c r="J5" i="8"/>
  <c r="J6"/>
  <c r="J7"/>
  <c r="D8"/>
  <c r="F8"/>
  <c r="H8"/>
  <c r="J8"/>
  <c r="J9"/>
  <c r="J12"/>
  <c r="J13"/>
  <c r="J14"/>
  <c r="D15"/>
  <c r="F15"/>
  <c r="H15"/>
  <c r="J15" s="1"/>
  <c r="J18"/>
  <c r="J19"/>
  <c r="J22"/>
  <c r="C28" s="1"/>
  <c r="J5" i="9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0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1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2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3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4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5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6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7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8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19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0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1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2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3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4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5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6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7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8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29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30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1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2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3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34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5"/>
  <c r="J6"/>
  <c r="J7"/>
  <c r="D8"/>
  <c r="J8" s="1"/>
  <c r="F8"/>
  <c r="H8"/>
  <c r="J9"/>
  <c r="J12"/>
  <c r="J13"/>
  <c r="J14"/>
  <c r="D15"/>
  <c r="J15" s="1"/>
  <c r="F15"/>
  <c r="H15"/>
  <c r="J18"/>
  <c r="J19"/>
  <c r="J22"/>
  <c r="C28" s="1"/>
  <c r="J5" i="36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7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8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39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0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1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2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3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4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5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6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7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8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49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50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51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52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53"/>
  <c r="J6"/>
  <c r="J7"/>
  <c r="D8"/>
  <c r="J8" s="1"/>
  <c r="F8"/>
  <c r="H8"/>
  <c r="J9"/>
  <c r="J12"/>
  <c r="J13"/>
  <c r="J14"/>
  <c r="D15"/>
  <c r="J15" s="1"/>
  <c r="F15"/>
  <c r="H15"/>
  <c r="J18"/>
  <c r="J19"/>
  <c r="J22" s="1"/>
  <c r="J5" i="54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55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56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57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58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59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60"/>
  <c r="J6"/>
  <c r="J7"/>
  <c r="D8"/>
  <c r="J8" s="1"/>
  <c r="F8"/>
  <c r="H8"/>
  <c r="J9"/>
  <c r="J12"/>
  <c r="J13"/>
  <c r="J14"/>
  <c r="D15"/>
  <c r="J15" s="1"/>
  <c r="F15"/>
  <c r="H15"/>
  <c r="J18"/>
  <c r="J22" s="1"/>
  <c r="J19"/>
  <c r="J5" i="61"/>
  <c r="J6"/>
  <c r="J7"/>
  <c r="D8"/>
  <c r="J8" s="1"/>
  <c r="F8"/>
  <c r="H8"/>
  <c r="J9"/>
  <c r="J12"/>
  <c r="J13"/>
  <c r="J14"/>
  <c r="D15"/>
  <c r="J15" s="1"/>
  <c r="F15"/>
  <c r="H15"/>
  <c r="J18"/>
  <c r="J22" s="1"/>
  <c r="J19"/>
  <c r="C28" i="42" l="1"/>
  <c r="J23"/>
  <c r="C28" i="32"/>
  <c r="J23"/>
  <c r="C28" i="46"/>
  <c r="J23"/>
  <c r="J23" i="60"/>
  <c r="C28"/>
  <c r="C28" i="56"/>
  <c r="J23"/>
  <c r="C28" i="53"/>
  <c r="J23"/>
  <c r="C28" i="49"/>
  <c r="J23"/>
  <c r="C28" i="45"/>
  <c r="J23"/>
  <c r="C28" i="41"/>
  <c r="J23"/>
  <c r="C28" i="37"/>
  <c r="J23"/>
  <c r="C28" i="31"/>
  <c r="J23"/>
  <c r="C28" i="50"/>
  <c r="J23"/>
  <c r="C28" i="38"/>
  <c r="J23"/>
  <c r="C28" i="59"/>
  <c r="J23"/>
  <c r="C28" i="55"/>
  <c r="J23"/>
  <c r="C28" i="52"/>
  <c r="J23"/>
  <c r="C28" i="48"/>
  <c r="J23"/>
  <c r="C28" i="44"/>
  <c r="J23"/>
  <c r="C28" i="40"/>
  <c r="J23"/>
  <c r="C28" i="36"/>
  <c r="J23"/>
  <c r="C28" i="30"/>
  <c r="J23"/>
  <c r="J23" i="61"/>
  <c r="C28"/>
  <c r="C28" i="57"/>
  <c r="J23"/>
  <c r="C28" i="58"/>
  <c r="J23"/>
  <c r="C28" i="54"/>
  <c r="J23"/>
  <c r="C28" i="51"/>
  <c r="J23"/>
  <c r="C28" i="47"/>
  <c r="J23"/>
  <c r="C28" i="43"/>
  <c r="J23"/>
  <c r="C28" i="39"/>
  <c r="J23"/>
  <c r="C28" i="34"/>
  <c r="J23"/>
  <c r="C28" i="33"/>
  <c r="J23"/>
  <c r="C28" i="7"/>
  <c r="J23"/>
  <c r="J23" i="35"/>
  <c r="J23" i="29"/>
  <c r="J23" i="28"/>
  <c r="J23" i="27"/>
  <c r="J23" i="26"/>
  <c r="J23" i="25"/>
  <c r="J23" i="24"/>
  <c r="J23" i="23"/>
  <c r="J23" i="22"/>
  <c r="J23" i="21"/>
  <c r="J23" i="20"/>
  <c r="J23" i="19"/>
  <c r="J23" i="18"/>
  <c r="J23" i="17"/>
  <c r="J23" i="16"/>
  <c r="J23" i="15"/>
  <c r="J23" i="14"/>
  <c r="J23" i="13"/>
  <c r="J23" i="12"/>
  <c r="J23" i="11"/>
  <c r="J23" i="10"/>
  <c r="J23" i="9"/>
  <c r="J23" i="8"/>
  <c r="J23" i="6"/>
</calcChain>
</file>

<file path=xl/sharedStrings.xml><?xml version="1.0" encoding="utf-8"?>
<sst xmlns="http://schemas.openxmlformats.org/spreadsheetml/2006/main" count="2940" uniqueCount="229">
  <si>
    <t>CONSTITUENCY DATA SUMMERY</t>
  </si>
  <si>
    <t>Constituency Name</t>
  </si>
  <si>
    <t>Khundrakpam (GEN)</t>
  </si>
  <si>
    <t>CANDIDATES CATEGORY</t>
  </si>
  <si>
    <t>Men</t>
  </si>
  <si>
    <t>Woman</t>
  </si>
  <si>
    <t>Others</t>
  </si>
  <si>
    <t>Total</t>
  </si>
  <si>
    <t>Nomination Field</t>
  </si>
  <si>
    <t>Nomination Rejected</t>
  </si>
  <si>
    <t>Withdrawn</t>
  </si>
  <si>
    <t>Contested</t>
  </si>
  <si>
    <t>Forfeited Deposit</t>
  </si>
  <si>
    <t>ELECTORS</t>
  </si>
  <si>
    <t>General(other than OVERSEAS)</t>
  </si>
  <si>
    <t>OVERSEAS</t>
  </si>
  <si>
    <t>Service</t>
  </si>
  <si>
    <t>VOTERS</t>
  </si>
  <si>
    <t>Proxy(already included in |||.1 General )</t>
  </si>
  <si>
    <t>Postal</t>
  </si>
  <si>
    <t>POLLING PERCENTAGE</t>
  </si>
  <si>
    <t>VOTES</t>
  </si>
  <si>
    <t>Rejected Votes (Postal)</t>
  </si>
  <si>
    <t>Votes Not Retrieved From EVM</t>
  </si>
  <si>
    <t>Total Valid Votes polled</t>
  </si>
  <si>
    <t>Tendered Votes</t>
  </si>
  <si>
    <t>POLLING STATION</t>
  </si>
  <si>
    <t>Average Electors Per Polling Station</t>
  </si>
  <si>
    <t>Dates(s) of Re-Poll if Any</t>
  </si>
  <si>
    <t>Numbers of Polling Stations where Re-Poll was Order</t>
  </si>
  <si>
    <t>DATES</t>
  </si>
  <si>
    <t>Polling</t>
  </si>
  <si>
    <t>Counting</t>
  </si>
  <si>
    <t>Declartion Of Result</t>
  </si>
  <si>
    <t>RESULT</t>
  </si>
  <si>
    <t>Party</t>
  </si>
  <si>
    <t>Candidates</t>
  </si>
  <si>
    <t>Votes</t>
  </si>
  <si>
    <t>Winner</t>
  </si>
  <si>
    <t xml:space="preserve">INC       </t>
  </si>
  <si>
    <t>Thokchom Lokeshwar Singh</t>
  </si>
  <si>
    <t>Runner-Up</t>
  </si>
  <si>
    <t xml:space="preserve">BJP       </t>
  </si>
  <si>
    <t>Thangjam Mohendro Singh</t>
  </si>
  <si>
    <t>Margin</t>
  </si>
  <si>
    <t>Heingang (GEN)</t>
  </si>
  <si>
    <t>Nongthombam Biren Singh</t>
  </si>
  <si>
    <t xml:space="preserve">AITC      </t>
  </si>
  <si>
    <t>Pangeijam Saratchandra Singh</t>
  </si>
  <si>
    <t>Khurai (GEN)</t>
  </si>
  <si>
    <t>Leishangthem Susindro Meitei</t>
  </si>
  <si>
    <t>Dr. Ngairangbam Bijoy Singh</t>
  </si>
  <si>
    <t xml:space="preserve">Kshetrigao </t>
  </si>
  <si>
    <t>Nahakpam Indrajit Singh</t>
  </si>
  <si>
    <t>Md. Amin Shah</t>
  </si>
  <si>
    <t xml:space="preserve">Thongju </t>
  </si>
  <si>
    <t>Thongam Biswajit Singh</t>
  </si>
  <si>
    <t>Thokchom Ajit Singh</t>
  </si>
  <si>
    <t xml:space="preserve">Keirao </t>
  </si>
  <si>
    <t>Lourembam Rameshwor Meetei</t>
  </si>
  <si>
    <t xml:space="preserve">IND       </t>
  </si>
  <si>
    <t>Md. Nasiruddin Khan</t>
  </si>
  <si>
    <t xml:space="preserve">Andro </t>
  </si>
  <si>
    <t>Thounaojam Shyamkumar</t>
  </si>
  <si>
    <t>Dr. Nimaichand Luwang</t>
  </si>
  <si>
    <t xml:space="preserve">Lamlai </t>
  </si>
  <si>
    <t>Ksh. Biren Singh</t>
  </si>
  <si>
    <t>Khongbantabam Ibomcha</t>
  </si>
  <si>
    <t xml:space="preserve">Thangmeiband </t>
  </si>
  <si>
    <t>Khumukcham Joykisan Singh</t>
  </si>
  <si>
    <t>Jyotin Waikhom</t>
  </si>
  <si>
    <t xml:space="preserve">Uripok </t>
  </si>
  <si>
    <t xml:space="preserve">NPEP      </t>
  </si>
  <si>
    <t>Yumnam Joykumar Singh</t>
  </si>
  <si>
    <t>Laishram Nandakumar Singh</t>
  </si>
  <si>
    <t xml:space="preserve">Sagolband </t>
  </si>
  <si>
    <t>Rajkumar Imo Singh</t>
  </si>
  <si>
    <t>Dr. Khwairakpam Loken Singh</t>
  </si>
  <si>
    <t xml:space="preserve">Keishamthong </t>
  </si>
  <si>
    <t>Langpoklakpam Jayantakumar Singh</t>
  </si>
  <si>
    <t>Laisom Ibomcha Singh</t>
  </si>
  <si>
    <t xml:space="preserve">Singjamei </t>
  </si>
  <si>
    <t>Yumnam Khemchand Singh</t>
  </si>
  <si>
    <t>Irengbam Hemochandra Singh</t>
  </si>
  <si>
    <t xml:space="preserve">Yaiskul </t>
  </si>
  <si>
    <t>Thokchom Satyabrata Singh</t>
  </si>
  <si>
    <t>Elangbam Chand Singh</t>
  </si>
  <si>
    <t xml:space="preserve">Wangkhei </t>
  </si>
  <si>
    <t>Okram Henry Singh</t>
  </si>
  <si>
    <t>Yumkham Erabot Singh</t>
  </si>
  <si>
    <t xml:space="preserve">Sekmai </t>
  </si>
  <si>
    <t>Heikham Dingo Singh</t>
  </si>
  <si>
    <t>Khwairakpam Devendro Singh</t>
  </si>
  <si>
    <t xml:space="preserve">Lamsang </t>
  </si>
  <si>
    <t>Sorokhaibam Rajen Singh</t>
  </si>
  <si>
    <t>Wangkheimayum Brajabidhu Singh</t>
  </si>
  <si>
    <t xml:space="preserve">Konthoujam </t>
  </si>
  <si>
    <t>Dr. Sapam Ranjan Singh</t>
  </si>
  <si>
    <t>Konthoujam Sharat Singh</t>
  </si>
  <si>
    <t xml:space="preserve">Patsoi </t>
  </si>
  <si>
    <t>Km. Ak. Mirabai Devi</t>
  </si>
  <si>
    <t xml:space="preserve">NEINDP    </t>
  </si>
  <si>
    <t>Sapam Kunjakeswor (Keba) Singh</t>
  </si>
  <si>
    <t xml:space="preserve">Langthabal </t>
  </si>
  <si>
    <t xml:space="preserve">LJP       </t>
  </si>
  <si>
    <t>Karam Shyam</t>
  </si>
  <si>
    <t>O. Joy Singh</t>
  </si>
  <si>
    <t xml:space="preserve">Naoriya pakhanglakpa </t>
  </si>
  <si>
    <t>Soibam Subhaschandra Singh</t>
  </si>
  <si>
    <t>R.K. Anand</t>
  </si>
  <si>
    <t xml:space="preserve">Wangoi </t>
  </si>
  <si>
    <t>Oinam Lukhoi Singh</t>
  </si>
  <si>
    <t>Khuraijam Loken Singh</t>
  </si>
  <si>
    <t xml:space="preserve">Mayang imphal </t>
  </si>
  <si>
    <t>Kongkham Robindro Singh</t>
  </si>
  <si>
    <t>Dr. Khumujam Ratankumar Singh</t>
  </si>
  <si>
    <t xml:space="preserve">Nambol </t>
  </si>
  <si>
    <t>Nameirakpam Loken Singh</t>
  </si>
  <si>
    <t>Thounaojam Chaoba</t>
  </si>
  <si>
    <t xml:space="preserve">Oinam </t>
  </si>
  <si>
    <t>Laishram Radhakishore Singh</t>
  </si>
  <si>
    <t>Dr. Irengbam Ibohalbi Singh</t>
  </si>
  <si>
    <t xml:space="preserve">Bishnupur </t>
  </si>
  <si>
    <t>Konthoujam Govindas</t>
  </si>
  <si>
    <t>Konthoujam Krishna Kumar Singh</t>
  </si>
  <si>
    <t xml:space="preserve">Moirang </t>
  </si>
  <si>
    <t>Pukhrem Sharatchandra Singh</t>
  </si>
  <si>
    <t>Mairembam Prithviraj Singh</t>
  </si>
  <si>
    <t xml:space="preserve">Thanga </t>
  </si>
  <si>
    <t>Tongbram Robindro Singh</t>
  </si>
  <si>
    <t>Moirangthem Asnikumar Singh</t>
  </si>
  <si>
    <t xml:space="preserve">Kumbi </t>
  </si>
  <si>
    <t>Sanasam Bira Singh</t>
  </si>
  <si>
    <t>Ningthoujam Mangi</t>
  </si>
  <si>
    <t xml:space="preserve">Lilong </t>
  </si>
  <si>
    <t>Muhammad Abdul Nasir</t>
  </si>
  <si>
    <t>Y. Antas Khan</t>
  </si>
  <si>
    <t xml:space="preserve">Thoubal </t>
  </si>
  <si>
    <t>Okram Ibobi Singh</t>
  </si>
  <si>
    <t>Leitanthem Basanta Singh</t>
  </si>
  <si>
    <t xml:space="preserve">Wangkhem </t>
  </si>
  <si>
    <t>Keisham Meghachandra Singh</t>
  </si>
  <si>
    <t>Yumnam Nabachandra Singh</t>
  </si>
  <si>
    <t xml:space="preserve">Heirok </t>
  </si>
  <si>
    <t>Thokchom Radheshyam Singh</t>
  </si>
  <si>
    <t>Moirangthem Okendro</t>
  </si>
  <si>
    <t xml:space="preserve">Wangjing tentha </t>
  </si>
  <si>
    <t>Paonam Brojen Singh</t>
  </si>
  <si>
    <t>Moirangthem Hemanta</t>
  </si>
  <si>
    <t xml:space="preserve">Khangabok </t>
  </si>
  <si>
    <t>Surjakumar Okram</t>
  </si>
  <si>
    <t>Thokchom Jadumani Singh</t>
  </si>
  <si>
    <t xml:space="preserve">Wabgai </t>
  </si>
  <si>
    <t>Md. Fajur Rahim</t>
  </si>
  <si>
    <t>Dr. Usham Deben Singh</t>
  </si>
  <si>
    <t xml:space="preserve">Kakching </t>
  </si>
  <si>
    <t>Yengkhom Surchandra Singh</t>
  </si>
  <si>
    <t>M. Rameshwar Singh (Ramay)</t>
  </si>
  <si>
    <t xml:space="preserve">Hiyanglam </t>
  </si>
  <si>
    <t>Dr. Radheshyam Yumnam</t>
  </si>
  <si>
    <t>Elangbam Dwijamani Singh</t>
  </si>
  <si>
    <t xml:space="preserve">Sugnu </t>
  </si>
  <si>
    <t>Kangujam Ranjit Singh</t>
  </si>
  <si>
    <t>Yumnam Jiban Singh</t>
  </si>
  <si>
    <t xml:space="preserve">Jiribam </t>
  </si>
  <si>
    <t>Ashab Uddin</t>
  </si>
  <si>
    <t>Thoudam Debendra Singh</t>
  </si>
  <si>
    <t xml:space="preserve">Chandel (st) </t>
  </si>
  <si>
    <t>Letpao Haokip</t>
  </si>
  <si>
    <t>Ts Warngam</t>
  </si>
  <si>
    <t xml:space="preserve">Tengnoupal (st) </t>
  </si>
  <si>
    <t>D. Korungthang</t>
  </si>
  <si>
    <t>Yangkholet Haokip</t>
  </si>
  <si>
    <t xml:space="preserve">Phungyar (st) </t>
  </si>
  <si>
    <t xml:space="preserve">NPF       </t>
  </si>
  <si>
    <t>K. Leishiyo</t>
  </si>
  <si>
    <t>Somi Awungshi</t>
  </si>
  <si>
    <t xml:space="preserve">Ukhrul (st) </t>
  </si>
  <si>
    <t>Alfred Kanngam Arthur</t>
  </si>
  <si>
    <t>Somatai Shaiza</t>
  </si>
  <si>
    <t xml:space="preserve">Chingai (st) </t>
  </si>
  <si>
    <t>Khashim Vashum</t>
  </si>
  <si>
    <t>Sword Vashum</t>
  </si>
  <si>
    <t xml:space="preserve">Saikul (st) </t>
  </si>
  <si>
    <t>Yamthong Haokip</t>
  </si>
  <si>
    <t xml:space="preserve">NCP       </t>
  </si>
  <si>
    <t>Chungkhokai Doungel</t>
  </si>
  <si>
    <t xml:space="preserve">Karong (st) </t>
  </si>
  <si>
    <t>D.D. Thaisii</t>
  </si>
  <si>
    <t>R. Yuh Jonathan Tao</t>
  </si>
  <si>
    <t xml:space="preserve">Mao (st) </t>
  </si>
  <si>
    <t>Losii Dikho</t>
  </si>
  <si>
    <t>Woba Joram</t>
  </si>
  <si>
    <t xml:space="preserve">Tadubi (st) </t>
  </si>
  <si>
    <t>N. Kayisii</t>
  </si>
  <si>
    <t>M. Francis Ngajokpa</t>
  </si>
  <si>
    <t xml:space="preserve">Kangpokpi (Gen) </t>
  </si>
  <si>
    <t>Nemcha Kipgen</t>
  </si>
  <si>
    <t>Kharga Tamang</t>
  </si>
  <si>
    <t xml:space="preserve">Saitu (ST) </t>
  </si>
  <si>
    <t>Ngamthang Haokip</t>
  </si>
  <si>
    <t>Haokholet Kipgen</t>
  </si>
  <si>
    <t xml:space="preserve">Tamei (ST) </t>
  </si>
  <si>
    <t>Awangbow Newmai</t>
  </si>
  <si>
    <t>Z. Kikhonbou Newmai</t>
  </si>
  <si>
    <t xml:space="preserve">Tamenglong (ST) </t>
  </si>
  <si>
    <t>Samuel Jendai Kamei</t>
  </si>
  <si>
    <t>Janghemlung Panmei</t>
  </si>
  <si>
    <t xml:space="preserve">Nungba (ST) </t>
  </si>
  <si>
    <t>Gaikhangam</t>
  </si>
  <si>
    <t>Adim Pamei</t>
  </si>
  <si>
    <t xml:space="preserve">Tipaimukh (st) </t>
  </si>
  <si>
    <t>Dr. Chaltonlien Amo</t>
  </si>
  <si>
    <t>Dr. Lallukhum Fimate</t>
  </si>
  <si>
    <t xml:space="preserve">Thanlon (ST) </t>
  </si>
  <si>
    <t>Vungzagin Valte</t>
  </si>
  <si>
    <t>Chinkholal Thangsing</t>
  </si>
  <si>
    <t xml:space="preserve">Henglep (ST) </t>
  </si>
  <si>
    <t>T. Thangzalam Haokip</t>
  </si>
  <si>
    <t>T. Manga Vaiphei</t>
  </si>
  <si>
    <t xml:space="preserve">Churachandpur (ST) </t>
  </si>
  <si>
    <t>V. Hangkhanlian</t>
  </si>
  <si>
    <t>Phungzathang Tonsing</t>
  </si>
  <si>
    <t xml:space="preserve">Saikot (ST) </t>
  </si>
  <si>
    <t>T. N. Haokip</t>
  </si>
  <si>
    <t>Paokholal Haokip</t>
  </si>
  <si>
    <t xml:space="preserve">Singhat (ST) </t>
  </si>
  <si>
    <t>Ginsuanhau</t>
  </si>
  <si>
    <t>Chinlunthang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</si>
</sst>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topLeftCell="A37" workbookViewId="0">
      <selection activeCell="L10" sqref="L10"/>
    </sheetView>
  </sheetViews>
  <sheetFormatPr defaultRowHeight="15"/>
  <cols>
    <col min="1" max="1" width="15.5703125" customWidth="1"/>
  </cols>
  <sheetData>
    <row r="1" spans="1:10" ht="18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t="s">
        <v>1</v>
      </c>
      <c r="B2" t="s">
        <v>2</v>
      </c>
    </row>
    <row r="4" spans="1:10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0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0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0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0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0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0">
      <c r="A11" t="s">
        <v>13</v>
      </c>
    </row>
    <row r="12" spans="1:10">
      <c r="B12" t="s">
        <v>14</v>
      </c>
      <c r="D12">
        <v>12921</v>
      </c>
      <c r="F12">
        <v>12410</v>
      </c>
      <c r="H12">
        <v>0</v>
      </c>
      <c r="J12">
        <f>SUM(D12:F12:H12)</f>
        <v>25331</v>
      </c>
    </row>
    <row r="13" spans="1:10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0">
      <c r="B14" t="s">
        <v>16</v>
      </c>
      <c r="D14">
        <v>123</v>
      </c>
      <c r="F14">
        <v>46</v>
      </c>
      <c r="H14">
        <v>0</v>
      </c>
      <c r="J14">
        <f>SUM(D14:F14:H14)</f>
        <v>169</v>
      </c>
    </row>
    <row r="15" spans="1:10">
      <c r="B15" t="s">
        <v>7</v>
      </c>
      <c r="D15">
        <f>SUM(D12:D13:D14)</f>
        <v>13044</v>
      </c>
      <c r="F15">
        <f>SUM(F12:F13:F14)</f>
        <v>12456</v>
      </c>
      <c r="H15">
        <f>SUM(H12:H13:H14)</f>
        <v>0</v>
      </c>
      <c r="J15">
        <f>SUM(D15:F15:H15)</f>
        <v>25500</v>
      </c>
    </row>
    <row r="17" spans="1:10">
      <c r="A17" t="s">
        <v>17</v>
      </c>
    </row>
    <row r="18" spans="1:10">
      <c r="B18" t="s">
        <v>14</v>
      </c>
      <c r="D18">
        <v>11217</v>
      </c>
      <c r="F18">
        <v>11558</v>
      </c>
      <c r="H18">
        <v>0</v>
      </c>
      <c r="J18">
        <f>SUM(D18:F18:H18)</f>
        <v>22775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125</v>
      </c>
    </row>
    <row r="22" spans="1:10">
      <c r="B22" t="s">
        <v>7</v>
      </c>
      <c r="J22">
        <f>SUM(J18:J19:J21)</f>
        <v>22900</v>
      </c>
    </row>
    <row r="23" spans="1:10">
      <c r="A23" t="s">
        <v>20</v>
      </c>
      <c r="J23">
        <f>J22/J15*100</f>
        <v>89.803921568627459</v>
      </c>
    </row>
    <row r="25" spans="1:10">
      <c r="A25" t="s">
        <v>21</v>
      </c>
    </row>
    <row r="26" spans="1:10">
      <c r="B26" t="s">
        <v>22</v>
      </c>
      <c r="C26">
        <v>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</f>
        <v>22896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633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40</v>
      </c>
      <c r="G42">
        <v>12849</v>
      </c>
    </row>
    <row r="43" spans="1:7">
      <c r="B43" t="s">
        <v>41</v>
      </c>
      <c r="C43" t="s">
        <v>42</v>
      </c>
      <c r="E43" t="s">
        <v>43</v>
      </c>
      <c r="G43">
        <v>9790</v>
      </c>
    </row>
    <row r="44" spans="1:7">
      <c r="B44" t="s">
        <v>44</v>
      </c>
      <c r="C44">
        <v>3059</v>
      </c>
    </row>
  </sheetData>
  <mergeCells count="1">
    <mergeCell ref="A1:J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0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14637</v>
      </c>
      <c r="F12">
        <v>15652</v>
      </c>
      <c r="H12">
        <v>0</v>
      </c>
      <c r="J12">
        <f>SUM(D12:F12:H12)</f>
        <v>30289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132</v>
      </c>
      <c r="F14">
        <v>38</v>
      </c>
      <c r="H14">
        <v>0</v>
      </c>
      <c r="J14">
        <f>SUM(D14:F14:H14)</f>
        <v>170</v>
      </c>
    </row>
    <row r="15" spans="1:12">
      <c r="B15" t="s">
        <v>7</v>
      </c>
      <c r="D15">
        <f>SUM(D12:D13:D14)</f>
        <v>14769</v>
      </c>
      <c r="F15">
        <f>SUM(F12:F13:F14)</f>
        <v>15690</v>
      </c>
      <c r="H15">
        <f>SUM(H12:H13:H14)</f>
        <v>0</v>
      </c>
      <c r="J15">
        <f>SUM(D15:F15:H15)</f>
        <v>30459</v>
      </c>
    </row>
    <row r="17" spans="1:10">
      <c r="A17" t="s">
        <v>17</v>
      </c>
    </row>
    <row r="18" spans="1:10">
      <c r="B18" t="s">
        <v>14</v>
      </c>
      <c r="D18">
        <v>12706</v>
      </c>
      <c r="F18">
        <v>14444</v>
      </c>
      <c r="H18">
        <v>0</v>
      </c>
      <c r="J18">
        <f>SUM(D18:F18:H18)</f>
        <v>27150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362</v>
      </c>
    </row>
    <row r="22" spans="1:10">
      <c r="B22" t="s">
        <v>7</v>
      </c>
      <c r="J22">
        <f>SUM(J18:J19:J21)</f>
        <v>27512</v>
      </c>
    </row>
    <row r="23" spans="1:10">
      <c r="A23" t="s">
        <v>20</v>
      </c>
      <c r="J23">
        <f>J22/J15*100</f>
        <v>90.324698775403007</v>
      </c>
    </row>
    <row r="25" spans="1:10">
      <c r="A25" t="s">
        <v>21</v>
      </c>
    </row>
    <row r="26" spans="1:10">
      <c r="B26" t="s">
        <v>22</v>
      </c>
      <c r="C26">
        <v>118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J22-118</f>
        <v>27394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45</v>
      </c>
    </row>
    <row r="32" spans="1:10">
      <c r="B32" t="s">
        <v>27</v>
      </c>
      <c r="C32">
        <v>673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46</v>
      </c>
      <c r="G42">
        <v>10439</v>
      </c>
    </row>
    <row r="43" spans="1:7">
      <c r="B43" t="s">
        <v>41</v>
      </c>
      <c r="C43" t="s">
        <v>47</v>
      </c>
      <c r="E43" t="s">
        <v>48</v>
      </c>
      <c r="G43">
        <v>9233</v>
      </c>
    </row>
    <row r="44" spans="1:7">
      <c r="B44" t="s">
        <v>44</v>
      </c>
      <c r="C44">
        <v>1206</v>
      </c>
    </row>
  </sheetData>
  <mergeCells count="1">
    <mergeCell ref="A1:L1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49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15214</v>
      </c>
      <c r="F12">
        <v>16648</v>
      </c>
      <c r="H12">
        <v>0</v>
      </c>
      <c r="J12">
        <f>SUM(D12:F12:H12)</f>
        <v>31862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71</v>
      </c>
      <c r="F14">
        <v>25</v>
      </c>
      <c r="H14">
        <v>0</v>
      </c>
      <c r="J14">
        <f>SUM(D14:F14:H14)</f>
        <v>96</v>
      </c>
    </row>
    <row r="15" spans="1:12">
      <c r="B15" t="s">
        <v>7</v>
      </c>
      <c r="D15">
        <f>SUM(D12:D13:D14)</f>
        <v>15285</v>
      </c>
      <c r="F15">
        <f>SUM(F12:F13:F14)</f>
        <v>16673</v>
      </c>
      <c r="H15">
        <f>SUM(H12:H13:H14)</f>
        <v>0</v>
      </c>
      <c r="J15">
        <f>SUM(D15:F15:H15)</f>
        <v>31958</v>
      </c>
    </row>
    <row r="17" spans="1:10">
      <c r="A17" t="s">
        <v>17</v>
      </c>
    </row>
    <row r="18" spans="1:10">
      <c r="B18" t="s">
        <v>14</v>
      </c>
      <c r="D18">
        <v>13256</v>
      </c>
      <c r="F18">
        <v>15575</v>
      </c>
      <c r="H18">
        <v>0</v>
      </c>
      <c r="J18">
        <f>SUM(D18:F18:H18)</f>
        <v>28831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358</v>
      </c>
    </row>
    <row r="22" spans="1:10">
      <c r="B22" t="s">
        <v>7</v>
      </c>
      <c r="J22">
        <f>SUM(J18:J19:J21)</f>
        <v>29189</v>
      </c>
    </row>
    <row r="23" spans="1:10">
      <c r="A23" t="s">
        <v>20</v>
      </c>
      <c r="J23">
        <f>J22/J15*100</f>
        <v>91.335502847487334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29188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43</v>
      </c>
    </row>
    <row r="32" spans="1:10">
      <c r="B32" t="s">
        <v>27</v>
      </c>
      <c r="C32">
        <v>741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50</v>
      </c>
      <c r="G42">
        <v>15005</v>
      </c>
    </row>
    <row r="43" spans="1:7">
      <c r="B43" t="s">
        <v>41</v>
      </c>
      <c r="C43" t="s">
        <v>39</v>
      </c>
      <c r="E43" t="s">
        <v>51</v>
      </c>
      <c r="G43">
        <v>13061</v>
      </c>
    </row>
    <row r="44" spans="1:7">
      <c r="B44" t="s">
        <v>44</v>
      </c>
      <c r="C44">
        <v>1944</v>
      </c>
    </row>
  </sheetData>
  <mergeCells count="1">
    <mergeCell ref="A1:L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0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0</v>
      </c>
      <c r="J8">
        <f>SUM(D8:F8:E8)</f>
        <v>7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15954</v>
      </c>
      <c r="F12">
        <v>17087</v>
      </c>
      <c r="H12">
        <v>0</v>
      </c>
      <c r="J12">
        <f>SUM(D12:F12:H12)</f>
        <v>33041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43</v>
      </c>
      <c r="F14">
        <v>12</v>
      </c>
      <c r="H14">
        <v>0</v>
      </c>
      <c r="J14">
        <f>SUM(D14:F14:H14)</f>
        <v>55</v>
      </c>
    </row>
    <row r="15" spans="1:12">
      <c r="B15" t="s">
        <v>7</v>
      </c>
      <c r="D15">
        <f>SUM(D12:D13:D14)</f>
        <v>15997</v>
      </c>
      <c r="F15">
        <f>SUM(F12:F13:F14)</f>
        <v>17099</v>
      </c>
      <c r="H15">
        <f>SUM(H12:H13:H14)</f>
        <v>0</v>
      </c>
      <c r="J15">
        <f>SUM(D15:F15:H15)</f>
        <v>33096</v>
      </c>
    </row>
    <row r="17" spans="1:10">
      <c r="A17" t="s">
        <v>17</v>
      </c>
    </row>
    <row r="18" spans="1:10">
      <c r="B18" t="s">
        <v>14</v>
      </c>
      <c r="D18">
        <v>13957</v>
      </c>
      <c r="F18">
        <v>15930</v>
      </c>
      <c r="H18">
        <v>0</v>
      </c>
      <c r="J18">
        <f>SUM(D18:F18:H18)</f>
        <v>29887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418</v>
      </c>
    </row>
    <row r="22" spans="1:10">
      <c r="B22" t="s">
        <v>7</v>
      </c>
      <c r="J22">
        <f>SUM(J18:J19:J21)</f>
        <v>30305</v>
      </c>
    </row>
    <row r="23" spans="1:10">
      <c r="A23" t="s">
        <v>20</v>
      </c>
      <c r="J23">
        <f>J22/J15*100</f>
        <v>91.566956731931342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30303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46</v>
      </c>
    </row>
    <row r="32" spans="1:10">
      <c r="B32" t="s">
        <v>27</v>
      </c>
      <c r="C32">
        <v>718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53</v>
      </c>
      <c r="G42">
        <v>10411</v>
      </c>
    </row>
    <row r="43" spans="1:7">
      <c r="B43" t="s">
        <v>41</v>
      </c>
      <c r="C43" t="s">
        <v>39</v>
      </c>
      <c r="E43" t="s">
        <v>54</v>
      </c>
      <c r="G43">
        <v>10031</v>
      </c>
    </row>
    <row r="44" spans="1:7">
      <c r="B44" t="s">
        <v>44</v>
      </c>
      <c r="C44">
        <v>380</v>
      </c>
    </row>
  </sheetData>
  <mergeCells count="1">
    <mergeCell ref="A1:L1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14305</v>
      </c>
      <c r="F12">
        <v>15761</v>
      </c>
      <c r="H12">
        <v>0</v>
      </c>
      <c r="J12">
        <f>SUM(D12:F12:H12)</f>
        <v>30066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52</v>
      </c>
      <c r="F14">
        <v>17</v>
      </c>
      <c r="H14">
        <v>0</v>
      </c>
      <c r="J14">
        <f>SUM(D14:F14:H14)</f>
        <v>69</v>
      </c>
    </row>
    <row r="15" spans="1:12">
      <c r="B15" t="s">
        <v>7</v>
      </c>
      <c r="D15">
        <f>SUM(D12:D13:D14)</f>
        <v>14357</v>
      </c>
      <c r="F15">
        <f>SUM(F12:F13:F14)</f>
        <v>15778</v>
      </c>
      <c r="H15">
        <f>SUM(H12:H13:H14)</f>
        <v>0</v>
      </c>
      <c r="J15">
        <f>SUM(D15:F15:H15)</f>
        <v>30135</v>
      </c>
    </row>
    <row r="17" spans="1:10">
      <c r="A17" t="s">
        <v>17</v>
      </c>
    </row>
    <row r="18" spans="1:10">
      <c r="B18" t="s">
        <v>14</v>
      </c>
      <c r="D18">
        <v>12271</v>
      </c>
      <c r="F18">
        <v>14284</v>
      </c>
      <c r="H18">
        <v>0</v>
      </c>
      <c r="J18">
        <f>SUM(D18:F18:H18)</f>
        <v>26555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292</v>
      </c>
    </row>
    <row r="22" spans="1:10">
      <c r="B22" t="s">
        <v>7</v>
      </c>
      <c r="J22">
        <f>SUM(J18:J19:J21)</f>
        <v>26847</v>
      </c>
    </row>
    <row r="23" spans="1:10">
      <c r="A23" t="s">
        <v>20</v>
      </c>
      <c r="J23">
        <f>J22/J15*100</f>
        <v>89.089099054255854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26846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45</v>
      </c>
    </row>
    <row r="32" spans="1:10">
      <c r="B32" t="s">
        <v>27</v>
      </c>
      <c r="C32">
        <v>668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56</v>
      </c>
      <c r="G42">
        <v>16809</v>
      </c>
    </row>
    <row r="43" spans="1:7">
      <c r="B43" t="s">
        <v>41</v>
      </c>
      <c r="C43" t="s">
        <v>39</v>
      </c>
      <c r="E43" t="s">
        <v>57</v>
      </c>
      <c r="G43">
        <v>9508</v>
      </c>
    </row>
    <row r="44" spans="1:7">
      <c r="B44" t="s">
        <v>44</v>
      </c>
      <c r="C44">
        <v>7301</v>
      </c>
    </row>
  </sheetData>
  <mergeCells count="1">
    <mergeCell ref="A1:L1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58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10</v>
      </c>
      <c r="F5">
        <v>0</v>
      </c>
      <c r="H5">
        <v>0</v>
      </c>
      <c r="J5">
        <f>SUM(D5:F5:H5)</f>
        <v>10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2</v>
      </c>
      <c r="F7">
        <v>0</v>
      </c>
      <c r="H7">
        <v>0</v>
      </c>
      <c r="J7">
        <f>SUM(D7:F7:H7)</f>
        <v>2</v>
      </c>
    </row>
    <row r="8" spans="1:12">
      <c r="A8" t="s">
        <v>11</v>
      </c>
      <c r="D8">
        <f>D5-D6-D7</f>
        <v>8</v>
      </c>
      <c r="F8">
        <f>E5-E6-E7</f>
        <v>0</v>
      </c>
      <c r="H8">
        <f>F5-F6-F7</f>
        <v>0</v>
      </c>
      <c r="J8">
        <f>SUM(D8:F8:E8)</f>
        <v>8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13177</v>
      </c>
      <c r="F12">
        <v>14482</v>
      </c>
      <c r="H12">
        <v>0</v>
      </c>
      <c r="J12">
        <f>SUM(D12:F12:H12)</f>
        <v>27659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54</v>
      </c>
      <c r="F14">
        <v>19</v>
      </c>
      <c r="H14">
        <v>0</v>
      </c>
      <c r="J14">
        <f>SUM(D14:F14:H14)</f>
        <v>73</v>
      </c>
    </row>
    <row r="15" spans="1:12">
      <c r="B15" t="s">
        <v>7</v>
      </c>
      <c r="D15">
        <f>SUM(D12:D13:D14)</f>
        <v>13231</v>
      </c>
      <c r="F15">
        <f>SUM(F12:F13:F14)</f>
        <v>14501</v>
      </c>
      <c r="H15">
        <f>SUM(H12:H13:H14)</f>
        <v>0</v>
      </c>
      <c r="J15">
        <f>SUM(D15:F15:H15)</f>
        <v>27732</v>
      </c>
    </row>
    <row r="17" spans="1:10">
      <c r="A17" t="s">
        <v>17</v>
      </c>
    </row>
    <row r="18" spans="1:10">
      <c r="B18" t="s">
        <v>14</v>
      </c>
      <c r="D18">
        <v>12013</v>
      </c>
      <c r="F18">
        <v>13812</v>
      </c>
      <c r="H18">
        <v>0</v>
      </c>
      <c r="J18">
        <f>SUM(D18:F18:H18)</f>
        <v>25825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314</v>
      </c>
    </row>
    <row r="22" spans="1:10">
      <c r="B22" t="s">
        <v>7</v>
      </c>
      <c r="J22">
        <f>SUM(J18:J19:J21)</f>
        <v>26139</v>
      </c>
    </row>
    <row r="23" spans="1:10">
      <c r="A23" t="s">
        <v>20</v>
      </c>
      <c r="J23">
        <f>J22/J15*100</f>
        <v>94.255733448723504</v>
      </c>
    </row>
    <row r="25" spans="1:10">
      <c r="A25" t="s">
        <v>21</v>
      </c>
    </row>
    <row r="26" spans="1:10">
      <c r="B26" t="s">
        <v>22</v>
      </c>
      <c r="C26">
        <v>9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J22-9</f>
        <v>26130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709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59</v>
      </c>
      <c r="G42">
        <v>5959</v>
      </c>
    </row>
    <row r="43" spans="1:7">
      <c r="B43" t="s">
        <v>41</v>
      </c>
      <c r="C43" t="s">
        <v>60</v>
      </c>
      <c r="E43" t="s">
        <v>61</v>
      </c>
      <c r="G43">
        <v>5421</v>
      </c>
    </row>
    <row r="44" spans="1:7">
      <c r="B44" t="s">
        <v>44</v>
      </c>
      <c r="C44">
        <v>538</v>
      </c>
    </row>
  </sheetData>
  <mergeCells count="1">
    <mergeCell ref="A1:L1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15999</v>
      </c>
      <c r="F12">
        <v>16971</v>
      </c>
      <c r="H12">
        <v>0</v>
      </c>
      <c r="J12">
        <f>SUM(D12:F12:H12)</f>
        <v>32970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83</v>
      </c>
      <c r="F14">
        <v>22</v>
      </c>
      <c r="H14">
        <v>0</v>
      </c>
      <c r="J14">
        <f>SUM(D14:F14:H14)</f>
        <v>105</v>
      </c>
    </row>
    <row r="15" spans="1:12">
      <c r="B15" t="s">
        <v>7</v>
      </c>
      <c r="D15">
        <f>SUM(D12:D13:D14)</f>
        <v>16082</v>
      </c>
      <c r="F15">
        <f>SUM(F12:F13:F14)</f>
        <v>16993</v>
      </c>
      <c r="H15">
        <f>SUM(H12:H13:H14)</f>
        <v>0</v>
      </c>
      <c r="J15">
        <f>SUM(D15:F15:H15)</f>
        <v>33075</v>
      </c>
    </row>
    <row r="17" spans="1:10">
      <c r="A17" t="s">
        <v>17</v>
      </c>
    </row>
    <row r="18" spans="1:10">
      <c r="B18" t="s">
        <v>14</v>
      </c>
      <c r="D18">
        <v>13906</v>
      </c>
      <c r="F18">
        <v>15864</v>
      </c>
      <c r="H18">
        <v>0</v>
      </c>
      <c r="J18">
        <f>SUM(D18:F18:H18)</f>
        <v>29770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282</v>
      </c>
    </row>
    <row r="22" spans="1:10">
      <c r="B22" t="s">
        <v>7</v>
      </c>
      <c r="J22">
        <f>SUM(J18:J19:J21)</f>
        <v>30052</v>
      </c>
    </row>
    <row r="23" spans="1:10">
      <c r="A23" t="s">
        <v>20</v>
      </c>
      <c r="J23">
        <f>J22/J15*100</f>
        <v>90.860166288737716</v>
      </c>
    </row>
    <row r="25" spans="1:10">
      <c r="A25" t="s">
        <v>21</v>
      </c>
    </row>
    <row r="26" spans="1:10">
      <c r="B26" t="s">
        <v>22</v>
      </c>
      <c r="C26">
        <v>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</f>
        <v>30049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44</v>
      </c>
    </row>
    <row r="32" spans="1:10">
      <c r="B32" t="s">
        <v>27</v>
      </c>
      <c r="C32">
        <v>749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63</v>
      </c>
      <c r="G42">
        <v>18948</v>
      </c>
    </row>
    <row r="43" spans="1:7">
      <c r="B43" t="s">
        <v>41</v>
      </c>
      <c r="C43" t="s">
        <v>42</v>
      </c>
      <c r="E43" t="s">
        <v>64</v>
      </c>
      <c r="G43">
        <v>10787</v>
      </c>
    </row>
    <row r="44" spans="1:7">
      <c r="B44" t="s">
        <v>44</v>
      </c>
      <c r="C44">
        <v>7986</v>
      </c>
    </row>
  </sheetData>
  <mergeCells count="1">
    <mergeCell ref="A1:L1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13472</v>
      </c>
      <c r="F12">
        <v>13613</v>
      </c>
      <c r="H12">
        <v>0</v>
      </c>
      <c r="J12">
        <f>SUM(D12:F12:H12)</f>
        <v>27085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93</v>
      </c>
      <c r="F14">
        <v>32</v>
      </c>
      <c r="H14">
        <v>0</v>
      </c>
      <c r="J14">
        <f>SUM(D14:F14:H14)</f>
        <v>125</v>
      </c>
    </row>
    <row r="15" spans="1:12">
      <c r="B15" t="s">
        <v>7</v>
      </c>
      <c r="D15">
        <f>SUM(D12:D13:D14)</f>
        <v>13565</v>
      </c>
      <c r="F15">
        <f>SUM(F12:F13:F14)</f>
        <v>13645</v>
      </c>
      <c r="H15">
        <f>SUM(H12:H13:H14)</f>
        <v>0</v>
      </c>
      <c r="J15">
        <f>SUM(D15:F15:H15)</f>
        <v>27210</v>
      </c>
    </row>
    <row r="17" spans="1:10">
      <c r="A17" t="s">
        <v>17</v>
      </c>
    </row>
    <row r="18" spans="1:10">
      <c r="B18" t="s">
        <v>14</v>
      </c>
      <c r="D18">
        <v>12430</v>
      </c>
      <c r="F18">
        <v>13111</v>
      </c>
      <c r="H18">
        <v>0</v>
      </c>
      <c r="J18">
        <f>SUM(D18:F18:H18)</f>
        <v>25541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172</v>
      </c>
    </row>
    <row r="22" spans="1:10">
      <c r="B22" t="s">
        <v>7</v>
      </c>
      <c r="J22">
        <f>SUM(J18:J19:J21)</f>
        <v>25713</v>
      </c>
    </row>
    <row r="23" spans="1:10">
      <c r="A23" t="s">
        <v>20</v>
      </c>
      <c r="J23">
        <f>J22/J15*100</f>
        <v>94.498346196251376</v>
      </c>
    </row>
    <row r="25" spans="1:10">
      <c r="A25" t="s">
        <v>21</v>
      </c>
    </row>
    <row r="26" spans="1:10">
      <c r="B26" t="s">
        <v>22</v>
      </c>
      <c r="C26">
        <v>17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J22-17</f>
        <v>25696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677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66</v>
      </c>
      <c r="G42">
        <v>12339</v>
      </c>
    </row>
    <row r="43" spans="1:7">
      <c r="B43" t="s">
        <v>41</v>
      </c>
      <c r="C43" t="s">
        <v>42</v>
      </c>
      <c r="E43" t="s">
        <v>67</v>
      </c>
      <c r="G43">
        <v>11487</v>
      </c>
    </row>
    <row r="44" spans="1:7">
      <c r="B44" t="s">
        <v>44</v>
      </c>
      <c r="C44">
        <v>852</v>
      </c>
    </row>
  </sheetData>
  <mergeCells count="1">
    <mergeCell ref="A1:L1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68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13386</v>
      </c>
      <c r="F12">
        <v>15030</v>
      </c>
      <c r="H12">
        <v>0</v>
      </c>
      <c r="J12">
        <f>SUM(D12:F12:H12)</f>
        <v>28416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48</v>
      </c>
      <c r="F14">
        <v>18</v>
      </c>
      <c r="H14">
        <v>0</v>
      </c>
      <c r="J14">
        <f>SUM(D14:F14:H14)</f>
        <v>66</v>
      </c>
    </row>
    <row r="15" spans="1:12">
      <c r="B15" t="s">
        <v>7</v>
      </c>
      <c r="D15">
        <f>SUM(D12:D13:D14)</f>
        <v>13434</v>
      </c>
      <c r="F15">
        <f>SUM(F12:F13:F14)</f>
        <v>15048</v>
      </c>
      <c r="H15">
        <f>SUM(H12:H13:H14)</f>
        <v>0</v>
      </c>
      <c r="J15">
        <f>SUM(D15:F15:H15)</f>
        <v>28482</v>
      </c>
    </row>
    <row r="17" spans="1:10">
      <c r="A17" t="s">
        <v>17</v>
      </c>
    </row>
    <row r="18" spans="1:10">
      <c r="B18" t="s">
        <v>14</v>
      </c>
      <c r="D18">
        <v>10884</v>
      </c>
      <c r="F18">
        <v>12638</v>
      </c>
      <c r="H18">
        <v>0</v>
      </c>
      <c r="J18">
        <f>SUM(D18:F18:H18)</f>
        <v>23522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229</v>
      </c>
    </row>
    <row r="22" spans="1:10">
      <c r="B22" t="s">
        <v>7</v>
      </c>
      <c r="J22">
        <f>SUM(J18:J19:J21)</f>
        <v>23751</v>
      </c>
    </row>
    <row r="23" spans="1:10">
      <c r="A23" t="s">
        <v>20</v>
      </c>
      <c r="J23">
        <f>J22/J15*100</f>
        <v>83.389509163682334</v>
      </c>
    </row>
    <row r="25" spans="1:10">
      <c r="A25" t="s">
        <v>21</v>
      </c>
    </row>
    <row r="26" spans="1:10">
      <c r="B26" t="s">
        <v>22</v>
      </c>
      <c r="C26">
        <v>6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J22-6</f>
        <v>23745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41</v>
      </c>
    </row>
    <row r="32" spans="1:10">
      <c r="B32" t="s">
        <v>27</v>
      </c>
      <c r="C32">
        <v>693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69</v>
      </c>
      <c r="G42">
        <v>11596</v>
      </c>
    </row>
    <row r="43" spans="1:7">
      <c r="B43" t="s">
        <v>41</v>
      </c>
      <c r="C43" t="s">
        <v>42</v>
      </c>
      <c r="E43" t="s">
        <v>70</v>
      </c>
      <c r="G43">
        <v>11439</v>
      </c>
    </row>
    <row r="44" spans="1:7">
      <c r="B44" t="s">
        <v>44</v>
      </c>
      <c r="C44">
        <v>157</v>
      </c>
    </row>
  </sheetData>
  <mergeCells count="1">
    <mergeCell ref="A1:L1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11217</v>
      </c>
      <c r="F12">
        <v>12489</v>
      </c>
      <c r="H12">
        <v>0</v>
      </c>
      <c r="J12">
        <f>SUM(D12:F12:H12)</f>
        <v>23706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42</v>
      </c>
      <c r="F14">
        <v>14</v>
      </c>
      <c r="H14">
        <v>0</v>
      </c>
      <c r="J14">
        <f>SUM(D14:F14:H14)</f>
        <v>56</v>
      </c>
    </row>
    <row r="15" spans="1:12">
      <c r="B15" t="s">
        <v>7</v>
      </c>
      <c r="D15">
        <f>SUM(D12:D13:D14)</f>
        <v>11259</v>
      </c>
      <c r="F15">
        <f>SUM(F12:F13:F14)</f>
        <v>12503</v>
      </c>
      <c r="H15">
        <f>SUM(H12:H13:H14)</f>
        <v>0</v>
      </c>
      <c r="J15">
        <f>SUM(D15:F15:H15)</f>
        <v>23762</v>
      </c>
    </row>
    <row r="17" spans="1:10">
      <c r="A17" t="s">
        <v>17</v>
      </c>
    </row>
    <row r="18" spans="1:10">
      <c r="B18" t="s">
        <v>14</v>
      </c>
      <c r="D18">
        <v>9031</v>
      </c>
      <c r="F18">
        <v>10865</v>
      </c>
      <c r="H18">
        <v>0</v>
      </c>
      <c r="J18">
        <f>SUM(D18:F18:H18)</f>
        <v>19896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306</v>
      </c>
    </row>
    <row r="22" spans="1:10">
      <c r="B22" t="s">
        <v>7</v>
      </c>
      <c r="J22">
        <f>SUM(J18:J19:J21)</f>
        <v>20202</v>
      </c>
    </row>
    <row r="23" spans="1:10">
      <c r="A23" t="s">
        <v>20</v>
      </c>
      <c r="J23">
        <f>J22/J15*100</f>
        <v>85.01809611985523</v>
      </c>
    </row>
    <row r="25" spans="1:10">
      <c r="A25" t="s">
        <v>21</v>
      </c>
    </row>
    <row r="26" spans="1:10">
      <c r="B26" t="s">
        <v>22</v>
      </c>
      <c r="C26">
        <v>7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J22-7</f>
        <v>20195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34</v>
      </c>
    </row>
    <row r="32" spans="1:10">
      <c r="B32" t="s">
        <v>27</v>
      </c>
      <c r="C32">
        <v>697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72</v>
      </c>
      <c r="E42" t="s">
        <v>73</v>
      </c>
      <c r="G42">
        <v>6469</v>
      </c>
    </row>
    <row r="43" spans="1:7">
      <c r="B43" t="s">
        <v>41</v>
      </c>
      <c r="C43" t="s">
        <v>39</v>
      </c>
      <c r="E43" t="s">
        <v>74</v>
      </c>
      <c r="G43">
        <v>6124</v>
      </c>
    </row>
    <row r="44" spans="1:7">
      <c r="B44" t="s">
        <v>44</v>
      </c>
      <c r="C44">
        <v>345</v>
      </c>
    </row>
  </sheetData>
  <mergeCells count="1">
    <mergeCell ref="A1:L1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1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1</v>
      </c>
      <c r="J8">
        <f>SUM(D8:F8:E8)</f>
        <v>3</v>
      </c>
    </row>
    <row r="9" spans="1:12">
      <c r="A9" t="s">
        <v>12</v>
      </c>
      <c r="D9">
        <v>1</v>
      </c>
      <c r="F9">
        <v>1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10807</v>
      </c>
      <c r="F12">
        <v>12225</v>
      </c>
      <c r="H12">
        <v>0</v>
      </c>
      <c r="J12">
        <f>SUM(D12:F12:H12)</f>
        <v>23032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24</v>
      </c>
      <c r="F14">
        <v>8</v>
      </c>
      <c r="H14">
        <v>0</v>
      </c>
      <c r="J14">
        <f>SUM(D14:F14:H14)</f>
        <v>32</v>
      </c>
    </row>
    <row r="15" spans="1:12">
      <c r="B15" t="s">
        <v>7</v>
      </c>
      <c r="D15">
        <f>SUM(D12:D13:D14)</f>
        <v>10831</v>
      </c>
      <c r="F15">
        <f>SUM(F12:F13:F14)</f>
        <v>12233</v>
      </c>
      <c r="H15">
        <f>SUM(H12:H13:H14)</f>
        <v>0</v>
      </c>
      <c r="J15">
        <f>SUM(D15:F15:H15)</f>
        <v>23064</v>
      </c>
    </row>
    <row r="17" spans="1:10">
      <c r="A17" t="s">
        <v>17</v>
      </c>
    </row>
    <row r="18" spans="1:10">
      <c r="B18" t="s">
        <v>14</v>
      </c>
      <c r="D18">
        <v>8807</v>
      </c>
      <c r="F18">
        <v>10476</v>
      </c>
      <c r="H18">
        <v>0</v>
      </c>
      <c r="J18">
        <f>SUM(D18:F18:H18)</f>
        <v>19283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19581</v>
      </c>
    </row>
    <row r="21" spans="1:10">
      <c r="B21" t="s">
        <v>19</v>
      </c>
      <c r="J21">
        <v>298</v>
      </c>
    </row>
    <row r="22" spans="1:10">
      <c r="B22" t="s">
        <v>7</v>
      </c>
      <c r="J22">
        <f>SUM(J18:J19:J21)</f>
        <v>39162</v>
      </c>
    </row>
    <row r="23" spans="1:10">
      <c r="A23" t="s">
        <v>20</v>
      </c>
      <c r="J23">
        <f>J22/J15*100</f>
        <v>169.79708636836628</v>
      </c>
    </row>
    <row r="25" spans="1:10">
      <c r="A25" t="s">
        <v>21</v>
      </c>
    </row>
    <row r="26" spans="1:10">
      <c r="B26" t="s">
        <v>22</v>
      </c>
      <c r="C26">
        <v>14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J22-14</f>
        <v>39148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35</v>
      </c>
    </row>
    <row r="32" spans="1:10">
      <c r="B32" t="s">
        <v>27</v>
      </c>
      <c r="C32">
        <v>658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76</v>
      </c>
      <c r="G42">
        <v>9211</v>
      </c>
    </row>
    <row r="43" spans="1:7">
      <c r="B43" t="s">
        <v>41</v>
      </c>
      <c r="C43" t="s">
        <v>42</v>
      </c>
      <c r="E43" t="s">
        <v>77</v>
      </c>
      <c r="G43">
        <v>9192</v>
      </c>
    </row>
    <row r="44" spans="1:7">
      <c r="B44" t="s">
        <v>44</v>
      </c>
      <c r="C44">
        <v>19</v>
      </c>
    </row>
  </sheetData>
  <mergeCells count="1">
    <mergeCell ref="A1:L1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78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1</v>
      </c>
      <c r="H5">
        <v>0</v>
      </c>
      <c r="J5">
        <f>SUM(D5:F5:H5)</f>
        <v>8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1</v>
      </c>
      <c r="J8">
        <f>SUM(D8:F8:E8)</f>
        <v>7</v>
      </c>
    </row>
    <row r="9" spans="1:12">
      <c r="A9" t="s">
        <v>12</v>
      </c>
      <c r="D9">
        <v>4</v>
      </c>
      <c r="F9">
        <v>1</v>
      </c>
      <c r="H9">
        <v>0</v>
      </c>
      <c r="J9">
        <f>SUM(D9:F9:E9)</f>
        <v>5</v>
      </c>
    </row>
    <row r="11" spans="1:12">
      <c r="A11" t="s">
        <v>13</v>
      </c>
    </row>
    <row r="12" spans="1:12">
      <c r="B12" t="s">
        <v>14</v>
      </c>
      <c r="D12">
        <v>12334</v>
      </c>
      <c r="F12">
        <v>14129</v>
      </c>
      <c r="H12">
        <v>0</v>
      </c>
      <c r="J12">
        <f>SUM(D12:F12:H12)</f>
        <v>26463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22</v>
      </c>
      <c r="F14">
        <v>9</v>
      </c>
      <c r="H14">
        <v>0</v>
      </c>
      <c r="J14">
        <f>SUM(D14:F14:H14)</f>
        <v>31</v>
      </c>
    </row>
    <row r="15" spans="1:12">
      <c r="B15" t="s">
        <v>7</v>
      </c>
      <c r="D15">
        <f>SUM(D12:D13:D14)</f>
        <v>12356</v>
      </c>
      <c r="F15">
        <f>SUM(F12:F13:F14)</f>
        <v>14138</v>
      </c>
      <c r="H15">
        <f>SUM(H12:H13:H14)</f>
        <v>0</v>
      </c>
      <c r="J15">
        <f>SUM(D15:F15:H15)</f>
        <v>26494</v>
      </c>
    </row>
    <row r="17" spans="1:10">
      <c r="A17" t="s">
        <v>17</v>
      </c>
    </row>
    <row r="18" spans="1:10">
      <c r="B18" t="s">
        <v>14</v>
      </c>
      <c r="D18">
        <v>10244</v>
      </c>
      <c r="F18">
        <v>12508</v>
      </c>
      <c r="H18">
        <v>0</v>
      </c>
      <c r="J18">
        <f>SUM(D18:F18:H18)</f>
        <v>22752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359</v>
      </c>
    </row>
    <row r="22" spans="1:10">
      <c r="B22" t="s">
        <v>7</v>
      </c>
      <c r="J22">
        <f>SUM(J18:J19:J21)</f>
        <v>23111</v>
      </c>
    </row>
    <row r="23" spans="1:10">
      <c r="A23" t="s">
        <v>20</v>
      </c>
      <c r="J23">
        <f>J22/J15*100</f>
        <v>87.231071185928883</v>
      </c>
    </row>
    <row r="25" spans="1:10">
      <c r="A25" t="s">
        <v>21</v>
      </c>
    </row>
    <row r="26" spans="1:10">
      <c r="B26" t="s">
        <v>22</v>
      </c>
      <c r="C26">
        <v>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</f>
        <v>23107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662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72</v>
      </c>
      <c r="E42" t="s">
        <v>79</v>
      </c>
      <c r="G42">
        <v>10000</v>
      </c>
    </row>
    <row r="43" spans="1:7">
      <c r="B43" t="s">
        <v>41</v>
      </c>
      <c r="C43" t="s">
        <v>39</v>
      </c>
      <c r="E43" t="s">
        <v>80</v>
      </c>
      <c r="G43">
        <v>6739</v>
      </c>
    </row>
    <row r="44" spans="1:7">
      <c r="B44" t="s">
        <v>44</v>
      </c>
      <c r="C44">
        <v>3261</v>
      </c>
    </row>
  </sheetData>
  <mergeCells count="1">
    <mergeCell ref="A1:L1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81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9190</v>
      </c>
      <c r="F12">
        <v>10697</v>
      </c>
      <c r="H12">
        <v>0</v>
      </c>
      <c r="J12">
        <f>SUM(D12:F12:H12)</f>
        <v>19887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33</v>
      </c>
      <c r="F14">
        <v>9</v>
      </c>
      <c r="H14">
        <v>0</v>
      </c>
      <c r="J14">
        <f>SUM(D14:F14:H14)</f>
        <v>42</v>
      </c>
    </row>
    <row r="15" spans="1:12">
      <c r="B15" t="s">
        <v>7</v>
      </c>
      <c r="D15">
        <f>SUM(D12:D13:D14)</f>
        <v>9223</v>
      </c>
      <c r="F15">
        <f>SUM(F12:F13:F14)</f>
        <v>10706</v>
      </c>
      <c r="H15">
        <f>SUM(H12:H13:H14)</f>
        <v>0</v>
      </c>
      <c r="J15">
        <f>SUM(D15:F15:H15)</f>
        <v>19929</v>
      </c>
    </row>
    <row r="17" spans="1:10">
      <c r="A17" t="s">
        <v>17</v>
      </c>
    </row>
    <row r="18" spans="1:10">
      <c r="B18" t="s">
        <v>14</v>
      </c>
      <c r="D18">
        <v>7767</v>
      </c>
      <c r="F18">
        <v>9594</v>
      </c>
      <c r="H18">
        <v>0</v>
      </c>
      <c r="J18">
        <f>SUM(D18:F18:H18)</f>
        <v>17361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209</v>
      </c>
    </row>
    <row r="22" spans="1:10">
      <c r="B22" t="s">
        <v>7</v>
      </c>
      <c r="J22">
        <f>SUM(J18:J19:J21)</f>
        <v>17570</v>
      </c>
    </row>
    <row r="23" spans="1:10">
      <c r="A23" t="s">
        <v>20</v>
      </c>
      <c r="J23">
        <f>J22/J15*100</f>
        <v>88.16297857393748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17570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29</v>
      </c>
    </row>
    <row r="32" spans="1:10">
      <c r="B32" t="s">
        <v>27</v>
      </c>
      <c r="C32">
        <v>686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82</v>
      </c>
      <c r="G42">
        <v>9459</v>
      </c>
    </row>
    <row r="43" spans="1:7">
      <c r="B43" t="s">
        <v>41</v>
      </c>
      <c r="C43" t="s">
        <v>39</v>
      </c>
      <c r="E43" t="s">
        <v>83</v>
      </c>
      <c r="G43">
        <v>7625</v>
      </c>
    </row>
    <row r="44" spans="1:7">
      <c r="B44" t="s">
        <v>44</v>
      </c>
      <c r="C44">
        <v>1834</v>
      </c>
    </row>
  </sheetData>
  <mergeCells count="1">
    <mergeCell ref="A1:L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84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11677</v>
      </c>
      <c r="F12">
        <v>13652</v>
      </c>
      <c r="H12">
        <v>0</v>
      </c>
      <c r="J12">
        <f>SUM(D12:F12:H12)</f>
        <v>25329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26</v>
      </c>
      <c r="F14">
        <v>8</v>
      </c>
      <c r="H14">
        <v>0</v>
      </c>
      <c r="J14">
        <f>SUM(D14:F14:H14)</f>
        <v>34</v>
      </c>
    </row>
    <row r="15" spans="1:12">
      <c r="B15" t="s">
        <v>7</v>
      </c>
      <c r="D15">
        <f>SUM(D12:D13:D14)</f>
        <v>11703</v>
      </c>
      <c r="F15">
        <f>SUM(F12:F13:F14)</f>
        <v>13660</v>
      </c>
      <c r="H15">
        <f>SUM(H12:H13:H14)</f>
        <v>0</v>
      </c>
      <c r="J15">
        <f>SUM(D15:F15:H15)</f>
        <v>25363</v>
      </c>
    </row>
    <row r="17" spans="1:10">
      <c r="A17" t="s">
        <v>17</v>
      </c>
    </row>
    <row r="18" spans="1:10">
      <c r="B18" t="s">
        <v>14</v>
      </c>
      <c r="D18">
        <v>9525</v>
      </c>
      <c r="F18">
        <v>12060</v>
      </c>
      <c r="H18">
        <v>0</v>
      </c>
      <c r="J18">
        <f>SUM(D18:F18:H18)</f>
        <v>21585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312</v>
      </c>
    </row>
    <row r="22" spans="1:10">
      <c r="B22" t="s">
        <v>7</v>
      </c>
      <c r="J22">
        <f>SUM(J18:J19:J21)</f>
        <v>21897</v>
      </c>
    </row>
    <row r="23" spans="1:10">
      <c r="A23" t="s">
        <v>20</v>
      </c>
      <c r="J23">
        <f>J22/J15*100</f>
        <v>86.334424161179669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21897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667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85</v>
      </c>
      <c r="G42">
        <v>8014</v>
      </c>
    </row>
    <row r="43" spans="1:7">
      <c r="B43" t="s">
        <v>41</v>
      </c>
      <c r="C43" t="s">
        <v>39</v>
      </c>
      <c r="E43" t="s">
        <v>86</v>
      </c>
      <c r="G43">
        <v>7444</v>
      </c>
    </row>
    <row r="44" spans="1:7">
      <c r="B44" t="s">
        <v>44</v>
      </c>
      <c r="C44">
        <v>570</v>
      </c>
    </row>
  </sheetData>
  <mergeCells count="1">
    <mergeCell ref="A1:L1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87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16691</v>
      </c>
      <c r="F12">
        <v>18059</v>
      </c>
      <c r="H12">
        <v>0</v>
      </c>
      <c r="J12">
        <f>SUM(D12:F12:H12)</f>
        <v>34750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124</v>
      </c>
      <c r="F14">
        <v>40</v>
      </c>
      <c r="H14">
        <v>0</v>
      </c>
      <c r="J14">
        <f>SUM(D14:F14:H14)</f>
        <v>164</v>
      </c>
    </row>
    <row r="15" spans="1:12">
      <c r="B15" t="s">
        <v>7</v>
      </c>
      <c r="D15">
        <f>SUM(D12:D13:D14)</f>
        <v>16815</v>
      </c>
      <c r="F15">
        <f>SUM(F12:F13:F14)</f>
        <v>18099</v>
      </c>
      <c r="H15">
        <f>SUM(H12:H13:H14)</f>
        <v>0</v>
      </c>
      <c r="J15">
        <f>SUM(D15:F15:H15)</f>
        <v>34914</v>
      </c>
    </row>
    <row r="17" spans="1:10">
      <c r="A17" t="s">
        <v>17</v>
      </c>
    </row>
    <row r="18" spans="1:10">
      <c r="B18" t="s">
        <v>14</v>
      </c>
      <c r="D18">
        <v>13656</v>
      </c>
      <c r="F18">
        <v>15655</v>
      </c>
      <c r="H18">
        <v>0</v>
      </c>
      <c r="J18">
        <f>SUM(D18:F18:H18)</f>
        <v>29311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350</v>
      </c>
    </row>
    <row r="22" spans="1:10">
      <c r="B22" t="s">
        <v>7</v>
      </c>
      <c r="J22">
        <f>SUM(J18:J19:J21)</f>
        <v>29661</v>
      </c>
    </row>
    <row r="23" spans="1:10">
      <c r="A23" t="s">
        <v>20</v>
      </c>
      <c r="J23">
        <f>J22/J15*100</f>
        <v>84.954459529128712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29660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50</v>
      </c>
    </row>
    <row r="32" spans="1:10">
      <c r="B32" t="s">
        <v>27</v>
      </c>
      <c r="C32">
        <v>695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88</v>
      </c>
      <c r="G42">
        <v>16753</v>
      </c>
    </row>
    <row r="43" spans="1:7">
      <c r="B43" t="s">
        <v>41</v>
      </c>
      <c r="C43" t="s">
        <v>42</v>
      </c>
      <c r="E43" t="s">
        <v>89</v>
      </c>
      <c r="G43">
        <v>12417</v>
      </c>
    </row>
    <row r="44" spans="1:7">
      <c r="B44" t="s">
        <v>44</v>
      </c>
      <c r="C44">
        <v>4336</v>
      </c>
    </row>
  </sheetData>
  <mergeCells count="1">
    <mergeCell ref="A1:L1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2</v>
      </c>
      <c r="F5">
        <v>0</v>
      </c>
      <c r="H5">
        <v>0</v>
      </c>
      <c r="J5">
        <f>SUM(D5:F5:H5)</f>
        <v>2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2</v>
      </c>
      <c r="F8">
        <f>E5-E6-E7</f>
        <v>0</v>
      </c>
      <c r="H8">
        <f>F5-F6-F7</f>
        <v>0</v>
      </c>
      <c r="J8">
        <f>SUM(D8:F8:E8)</f>
        <v>2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13454</v>
      </c>
      <c r="F12">
        <v>13343</v>
      </c>
      <c r="H12">
        <v>0</v>
      </c>
      <c r="J12">
        <f>SUM(D12:F12:H12)</f>
        <v>26797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134</v>
      </c>
      <c r="F14">
        <v>51</v>
      </c>
      <c r="H14">
        <v>0</v>
      </c>
      <c r="J14">
        <f>SUM(D14:F14:H14)</f>
        <v>185</v>
      </c>
    </row>
    <row r="15" spans="1:12">
      <c r="B15" t="s">
        <v>7</v>
      </c>
      <c r="D15">
        <f>SUM(D12:D13:D14)</f>
        <v>13588</v>
      </c>
      <c r="F15">
        <f>SUM(F12:F13:F14)</f>
        <v>13394</v>
      </c>
      <c r="H15">
        <f>SUM(H12:H13:H14)</f>
        <v>0</v>
      </c>
      <c r="J15">
        <f>SUM(D15:F15:H15)</f>
        <v>26982</v>
      </c>
    </row>
    <row r="17" spans="1:10">
      <c r="A17" t="s">
        <v>17</v>
      </c>
    </row>
    <row r="18" spans="1:10">
      <c r="B18" t="s">
        <v>14</v>
      </c>
      <c r="D18">
        <v>11627</v>
      </c>
      <c r="F18">
        <v>12252</v>
      </c>
      <c r="H18">
        <v>0</v>
      </c>
      <c r="J18">
        <f>SUM(D18:F18:H18)</f>
        <v>23879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145</v>
      </c>
    </row>
    <row r="22" spans="1:10">
      <c r="B22" t="s">
        <v>7</v>
      </c>
      <c r="J22">
        <f>SUM(J18:J19:J21)</f>
        <v>24024</v>
      </c>
    </row>
    <row r="23" spans="1:10">
      <c r="A23" t="s">
        <v>20</v>
      </c>
      <c r="J23">
        <f>J22/J15*100</f>
        <v>89.037135868356685</v>
      </c>
    </row>
    <row r="25" spans="1:10">
      <c r="A25" t="s">
        <v>21</v>
      </c>
    </row>
    <row r="26" spans="1:10">
      <c r="B26" t="s">
        <v>22</v>
      </c>
      <c r="C26">
        <v>11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J22-11</f>
        <v>24013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705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91</v>
      </c>
      <c r="G42">
        <v>13163</v>
      </c>
    </row>
    <row r="43" spans="1:7">
      <c r="B43" t="s">
        <v>41</v>
      </c>
      <c r="C43" t="s">
        <v>39</v>
      </c>
      <c r="E43" t="s">
        <v>92</v>
      </c>
      <c r="G43">
        <v>10631</v>
      </c>
    </row>
    <row r="44" spans="1:7">
      <c r="B44" t="s">
        <v>44</v>
      </c>
      <c r="C44">
        <v>2532</v>
      </c>
    </row>
  </sheetData>
  <mergeCells count="1">
    <mergeCell ref="A1:L1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14939</v>
      </c>
      <c r="F12">
        <v>15198</v>
      </c>
      <c r="H12">
        <v>0</v>
      </c>
      <c r="J12">
        <f>SUM(D12:F12:H12)</f>
        <v>30137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94</v>
      </c>
      <c r="F14">
        <v>36</v>
      </c>
      <c r="H14">
        <v>0</v>
      </c>
      <c r="J14">
        <f>SUM(D14:F14:H14)</f>
        <v>130</v>
      </c>
    </row>
    <row r="15" spans="1:12">
      <c r="B15" t="s">
        <v>7</v>
      </c>
      <c r="D15">
        <f>SUM(D12:D13:D14)</f>
        <v>15033</v>
      </c>
      <c r="F15">
        <f>SUM(F12:F13:F14)</f>
        <v>15234</v>
      </c>
      <c r="H15">
        <f>SUM(H12:H13:H14)</f>
        <v>0</v>
      </c>
      <c r="J15">
        <f>SUM(D15:F15:H15)</f>
        <v>30267</v>
      </c>
    </row>
    <row r="17" spans="1:10">
      <c r="A17" t="s">
        <v>17</v>
      </c>
    </row>
    <row r="18" spans="1:10">
      <c r="B18" t="s">
        <v>14</v>
      </c>
      <c r="D18">
        <v>13519</v>
      </c>
      <c r="F18">
        <v>14373</v>
      </c>
      <c r="H18">
        <v>0</v>
      </c>
      <c r="J18">
        <f>SUM(D18:F18:H18)</f>
        <v>27892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151</v>
      </c>
    </row>
    <row r="22" spans="1:10">
      <c r="B22" t="s">
        <v>7</v>
      </c>
      <c r="J22">
        <f>SUM(J18:J19:J21)</f>
        <v>28043</v>
      </c>
    </row>
    <row r="23" spans="1:10">
      <c r="A23" t="s">
        <v>20</v>
      </c>
      <c r="J23">
        <f>J22/J15*100</f>
        <v>92.652063303267582</v>
      </c>
    </row>
    <row r="25" spans="1:10">
      <c r="A25" t="s">
        <v>21</v>
      </c>
    </row>
    <row r="26" spans="1:10">
      <c r="B26" t="s">
        <v>22</v>
      </c>
      <c r="C26">
        <v>15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J22-15</f>
        <v>28028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41</v>
      </c>
    </row>
    <row r="32" spans="1:10">
      <c r="B32" t="s">
        <v>27</v>
      </c>
      <c r="C32">
        <v>735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94</v>
      </c>
      <c r="G42">
        <v>12593</v>
      </c>
    </row>
    <row r="43" spans="1:7">
      <c r="B43" t="s">
        <v>41</v>
      </c>
      <c r="C43" t="s">
        <v>39</v>
      </c>
      <c r="E43" t="s">
        <v>95</v>
      </c>
      <c r="G43">
        <v>11313</v>
      </c>
    </row>
    <row r="44" spans="1:7">
      <c r="B44" t="s">
        <v>44</v>
      </c>
      <c r="C44">
        <v>1280</v>
      </c>
    </row>
  </sheetData>
  <mergeCells count="1">
    <mergeCell ref="A1:L1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96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13623</v>
      </c>
      <c r="F12">
        <v>14229</v>
      </c>
      <c r="H12">
        <v>0</v>
      </c>
      <c r="J12">
        <f>SUM(D12:F12:H12)</f>
        <v>27852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65</v>
      </c>
      <c r="F14">
        <v>26</v>
      </c>
      <c r="H14">
        <v>0</v>
      </c>
      <c r="J14">
        <f>SUM(D14:F14:H14)</f>
        <v>91</v>
      </c>
    </row>
    <row r="15" spans="1:12">
      <c r="B15" t="s">
        <v>7</v>
      </c>
      <c r="D15">
        <f>SUM(D12:D13:D14)</f>
        <v>13688</v>
      </c>
      <c r="F15">
        <f>SUM(F12:F13:F14)</f>
        <v>14255</v>
      </c>
      <c r="H15">
        <f>SUM(H12:H13:H14)</f>
        <v>0</v>
      </c>
      <c r="J15">
        <f>SUM(D15:F15:H15)</f>
        <v>27943</v>
      </c>
    </row>
    <row r="17" spans="1:10">
      <c r="A17" t="s">
        <v>17</v>
      </c>
    </row>
    <row r="18" spans="1:10">
      <c r="B18" t="s">
        <v>14</v>
      </c>
      <c r="D18">
        <v>12298</v>
      </c>
      <c r="F18">
        <v>13514</v>
      </c>
      <c r="H18">
        <v>0</v>
      </c>
      <c r="J18">
        <f>SUM(D18:F18:H18)</f>
        <v>25812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244</v>
      </c>
    </row>
    <row r="22" spans="1:10">
      <c r="B22" t="s">
        <v>7</v>
      </c>
      <c r="J22">
        <f>SUM(J18:J19:J21)</f>
        <v>26056</v>
      </c>
    </row>
    <row r="23" spans="1:10">
      <c r="A23" t="s">
        <v>20</v>
      </c>
      <c r="J23">
        <f>J22/J15*100</f>
        <v>93.246967040045803</v>
      </c>
    </row>
    <row r="25" spans="1:10">
      <c r="A25" t="s">
        <v>21</v>
      </c>
    </row>
    <row r="26" spans="1:10">
      <c r="B26" t="s">
        <v>22</v>
      </c>
      <c r="C26">
        <v>27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J22-27</f>
        <v>26029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696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97</v>
      </c>
      <c r="G42">
        <v>14313</v>
      </c>
    </row>
    <row r="43" spans="1:7">
      <c r="B43" t="s">
        <v>41</v>
      </c>
      <c r="C43" t="s">
        <v>39</v>
      </c>
      <c r="E43" t="s">
        <v>98</v>
      </c>
      <c r="G43">
        <v>11541</v>
      </c>
    </row>
    <row r="44" spans="1:7">
      <c r="B44" t="s">
        <v>44</v>
      </c>
      <c r="C44">
        <v>2772</v>
      </c>
    </row>
  </sheetData>
  <mergeCells count="1">
    <mergeCell ref="A1:L1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99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1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1</v>
      </c>
      <c r="J8">
        <f>SUM(D8:F8:E8)</f>
        <v>4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16528</v>
      </c>
      <c r="F12">
        <v>18253</v>
      </c>
      <c r="H12">
        <v>0</v>
      </c>
      <c r="J12">
        <f>SUM(D12:F12:H12)</f>
        <v>34781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92</v>
      </c>
      <c r="F14">
        <v>43</v>
      </c>
      <c r="H14">
        <v>0</v>
      </c>
      <c r="J14">
        <f>SUM(D14:F14:H14)</f>
        <v>135</v>
      </c>
    </row>
    <row r="15" spans="1:12">
      <c r="B15" t="s">
        <v>7</v>
      </c>
      <c r="D15">
        <f>SUM(D12:D13:D14)</f>
        <v>16620</v>
      </c>
      <c r="F15">
        <f>SUM(F12:F13:F14)</f>
        <v>18296</v>
      </c>
      <c r="H15">
        <f>SUM(H12:H13:H14)</f>
        <v>0</v>
      </c>
      <c r="J15">
        <f>SUM(D15:F15:H15)</f>
        <v>34916</v>
      </c>
    </row>
    <row r="17" spans="1:10">
      <c r="A17" t="s">
        <v>17</v>
      </c>
    </row>
    <row r="18" spans="1:10">
      <c r="B18" t="s">
        <v>14</v>
      </c>
      <c r="D18">
        <v>14313</v>
      </c>
      <c r="F18">
        <v>16800</v>
      </c>
      <c r="H18">
        <v>0</v>
      </c>
      <c r="J18">
        <f>SUM(D18:F18:H18)</f>
        <v>31113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372</v>
      </c>
    </row>
    <row r="22" spans="1:10">
      <c r="B22" t="s">
        <v>7</v>
      </c>
      <c r="J22">
        <f>SUM(J18:J19:J21)</f>
        <v>31485</v>
      </c>
    </row>
    <row r="23" spans="1:10">
      <c r="A23" t="s">
        <v>20</v>
      </c>
      <c r="J23">
        <f>J22/J15*100</f>
        <v>90.173559399702143</v>
      </c>
    </row>
    <row r="25" spans="1:10">
      <c r="A25" t="s">
        <v>21</v>
      </c>
    </row>
    <row r="26" spans="1:10">
      <c r="B26" t="s">
        <v>22</v>
      </c>
      <c r="C26">
        <v>25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J22-25</f>
        <v>31460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49</v>
      </c>
    </row>
    <row r="32" spans="1:10">
      <c r="B32" t="s">
        <v>27</v>
      </c>
      <c r="C32">
        <v>710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100</v>
      </c>
      <c r="G42">
        <v>13405</v>
      </c>
    </row>
    <row r="43" spans="1:7">
      <c r="B43" t="s">
        <v>41</v>
      </c>
      <c r="C43" t="s">
        <v>101</v>
      </c>
      <c r="E43" t="s">
        <v>102</v>
      </c>
      <c r="G43">
        <v>13291</v>
      </c>
    </row>
    <row r="44" spans="1:7">
      <c r="B44" t="s">
        <v>44</v>
      </c>
      <c r="C44">
        <v>114</v>
      </c>
    </row>
  </sheetData>
  <mergeCells count="1">
    <mergeCell ref="A1:L1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1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1</v>
      </c>
      <c r="J8">
        <f>SUM(D8:F8:E8)</f>
        <v>5</v>
      </c>
    </row>
    <row r="9" spans="1:12">
      <c r="A9" t="s">
        <v>12</v>
      </c>
      <c r="D9">
        <v>3</v>
      </c>
      <c r="F9">
        <v>1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12850</v>
      </c>
      <c r="F12">
        <v>14070</v>
      </c>
      <c r="H12">
        <v>0</v>
      </c>
      <c r="J12">
        <f>SUM(D12:F12:H12)</f>
        <v>26920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63</v>
      </c>
      <c r="F14">
        <v>29</v>
      </c>
      <c r="H14">
        <v>0</v>
      </c>
      <c r="J14">
        <f>SUM(D14:F14:H14)</f>
        <v>92</v>
      </c>
    </row>
    <row r="15" spans="1:12">
      <c r="B15" t="s">
        <v>7</v>
      </c>
      <c r="D15">
        <f>SUM(D12:D13:D14)</f>
        <v>12913</v>
      </c>
      <c r="F15">
        <f>SUM(F12:F13:F14)</f>
        <v>14099</v>
      </c>
      <c r="H15">
        <f>SUM(H12:H13:H14)</f>
        <v>0</v>
      </c>
      <c r="J15">
        <f>SUM(D15:F15:H15)</f>
        <v>27012</v>
      </c>
    </row>
    <row r="17" spans="1:10">
      <c r="A17" t="s">
        <v>17</v>
      </c>
    </row>
    <row r="18" spans="1:10">
      <c r="B18" t="s">
        <v>14</v>
      </c>
      <c r="D18">
        <v>11226</v>
      </c>
      <c r="F18">
        <v>13144</v>
      </c>
      <c r="H18">
        <v>0</v>
      </c>
      <c r="J18">
        <f>SUM(D18:F18:H18)</f>
        <v>24370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311</v>
      </c>
    </row>
    <row r="22" spans="1:10">
      <c r="B22" t="s">
        <v>7</v>
      </c>
      <c r="J22">
        <f>SUM(J18:J19:J21)</f>
        <v>24681</v>
      </c>
    </row>
    <row r="23" spans="1:10">
      <c r="A23" t="s">
        <v>20</v>
      </c>
      <c r="J23">
        <f>J22/J15*100</f>
        <v>91.370501999111511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24681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690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104</v>
      </c>
      <c r="E42" t="s">
        <v>105</v>
      </c>
      <c r="G42">
        <v>9625</v>
      </c>
    </row>
    <row r="43" spans="1:7">
      <c r="B43" t="s">
        <v>41</v>
      </c>
      <c r="C43" t="s">
        <v>42</v>
      </c>
      <c r="E43" t="s">
        <v>106</v>
      </c>
      <c r="G43">
        <v>7294</v>
      </c>
    </row>
    <row r="44" spans="1:7">
      <c r="B44" t="s">
        <v>44</v>
      </c>
      <c r="C44">
        <v>2331</v>
      </c>
    </row>
  </sheetData>
  <mergeCells count="1">
    <mergeCell ref="A1:L1"/>
  </mergeCell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107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0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15667</v>
      </c>
      <c r="F12">
        <v>16855</v>
      </c>
      <c r="H12">
        <v>0</v>
      </c>
      <c r="J12">
        <f>SUM(D12:F12:H12)</f>
        <v>32522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57</v>
      </c>
      <c r="F14">
        <v>24</v>
      </c>
      <c r="H14">
        <v>0</v>
      </c>
      <c r="J14">
        <f>SUM(D14:F14:H14)</f>
        <v>81</v>
      </c>
    </row>
    <row r="15" spans="1:12">
      <c r="B15" t="s">
        <v>7</v>
      </c>
      <c r="D15">
        <f>SUM(D12:D13:D14)</f>
        <v>15724</v>
      </c>
      <c r="F15">
        <f>SUM(F12:F13:F14)</f>
        <v>16879</v>
      </c>
      <c r="H15">
        <f>SUM(H12:H13:H14)</f>
        <v>0</v>
      </c>
      <c r="J15">
        <f>SUM(D15:F15:H15)</f>
        <v>32603</v>
      </c>
    </row>
    <row r="17" spans="1:10">
      <c r="A17" t="s">
        <v>17</v>
      </c>
    </row>
    <row r="18" spans="1:10">
      <c r="B18" t="s">
        <v>14</v>
      </c>
      <c r="D18">
        <v>14027</v>
      </c>
      <c r="F18">
        <v>15928</v>
      </c>
      <c r="H18">
        <v>0</v>
      </c>
      <c r="J18">
        <f>SUM(D18:F18:H18)</f>
        <v>29955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380</v>
      </c>
    </row>
    <row r="22" spans="1:10">
      <c r="B22" t="s">
        <v>7</v>
      </c>
      <c r="J22">
        <f>SUM(J18:J19:J21)</f>
        <v>30335</v>
      </c>
    </row>
    <row r="23" spans="1:10">
      <c r="A23" t="s">
        <v>20</v>
      </c>
      <c r="J23">
        <f>J22/J15*100</f>
        <v>93.043584946170597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30334</v>
      </c>
    </row>
    <row r="29" spans="1:10">
      <c r="B29" t="s">
        <v>25</v>
      </c>
      <c r="C29">
        <v>2</v>
      </c>
    </row>
    <row r="31" spans="1:10">
      <c r="A31" t="s">
        <v>26</v>
      </c>
      <c r="C31">
        <v>47</v>
      </c>
    </row>
    <row r="32" spans="1:10">
      <c r="B32" t="s">
        <v>27</v>
      </c>
      <c r="C32">
        <v>692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108</v>
      </c>
      <c r="G42">
        <v>8609</v>
      </c>
    </row>
    <row r="43" spans="1:7">
      <c r="B43" t="s">
        <v>41</v>
      </c>
      <c r="C43" t="s">
        <v>39</v>
      </c>
      <c r="E43" t="s">
        <v>109</v>
      </c>
      <c r="G43">
        <v>6994</v>
      </c>
    </row>
    <row r="44" spans="1:7">
      <c r="B44" t="s">
        <v>44</v>
      </c>
      <c r="C44">
        <v>1615</v>
      </c>
    </row>
  </sheetData>
  <mergeCells count="1">
    <mergeCell ref="A1:L1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13517</v>
      </c>
      <c r="F12">
        <v>14106</v>
      </c>
      <c r="H12">
        <v>0</v>
      </c>
      <c r="J12">
        <f>SUM(D12:F12:H12)</f>
        <v>27623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71</v>
      </c>
      <c r="F14">
        <v>20</v>
      </c>
      <c r="H14">
        <v>0</v>
      </c>
      <c r="J14">
        <f>SUM(D14:F14:H14)</f>
        <v>91</v>
      </c>
    </row>
    <row r="15" spans="1:12">
      <c r="B15" t="s">
        <v>7</v>
      </c>
      <c r="D15">
        <f>SUM(D12:D13:D14)</f>
        <v>13588</v>
      </c>
      <c r="F15">
        <f>SUM(F12:F13:F14)</f>
        <v>14126</v>
      </c>
      <c r="H15">
        <f>SUM(H12:H13:H14)</f>
        <v>0</v>
      </c>
      <c r="J15">
        <f>SUM(D15:F15:H15)</f>
        <v>27714</v>
      </c>
    </row>
    <row r="17" spans="1:10">
      <c r="A17" t="s">
        <v>17</v>
      </c>
    </row>
    <row r="18" spans="1:10">
      <c r="B18" t="s">
        <v>14</v>
      </c>
      <c r="D18">
        <v>12399</v>
      </c>
      <c r="F18">
        <v>13594</v>
      </c>
      <c r="H18">
        <v>0</v>
      </c>
      <c r="J18">
        <f>SUM(D18:F18:H18)</f>
        <v>25993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243</v>
      </c>
    </row>
    <row r="22" spans="1:10">
      <c r="B22" t="s">
        <v>7</v>
      </c>
      <c r="J22">
        <f>SUM(J18:J19:J21)</f>
        <v>26236</v>
      </c>
    </row>
    <row r="23" spans="1:10">
      <c r="A23" t="s">
        <v>20</v>
      </c>
      <c r="J23">
        <f>J22/J15*100</f>
        <v>94.666955329436391</v>
      </c>
    </row>
    <row r="25" spans="1:10">
      <c r="A25" t="s">
        <v>21</v>
      </c>
    </row>
    <row r="26" spans="1:10">
      <c r="B26" t="s">
        <v>22</v>
      </c>
      <c r="C26">
        <v>11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J22-11</f>
        <v>26225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708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111</v>
      </c>
      <c r="G42">
        <v>7443</v>
      </c>
    </row>
    <row r="43" spans="1:7">
      <c r="B43" t="s">
        <v>41</v>
      </c>
      <c r="C43" t="s">
        <v>72</v>
      </c>
      <c r="E43" t="s">
        <v>112</v>
      </c>
      <c r="G43">
        <v>7407</v>
      </c>
    </row>
    <row r="44" spans="1:7">
      <c r="B44" t="s">
        <v>44</v>
      </c>
      <c r="C44">
        <v>36</v>
      </c>
    </row>
  </sheetData>
  <mergeCells count="1">
    <mergeCell ref="A1:L1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2</v>
      </c>
      <c r="F5">
        <v>0</v>
      </c>
      <c r="H5">
        <v>0</v>
      </c>
      <c r="J5">
        <f>SUM(D5:F5:H5)</f>
        <v>2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2</v>
      </c>
      <c r="F8">
        <f>E5-E6-E7</f>
        <v>0</v>
      </c>
      <c r="H8">
        <f>F5-F6-F7</f>
        <v>0</v>
      </c>
      <c r="J8">
        <f>SUM(D8:F8:E8)</f>
        <v>2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13931</v>
      </c>
      <c r="F12">
        <v>14917</v>
      </c>
      <c r="H12">
        <v>0</v>
      </c>
      <c r="J12">
        <f>SUM(D12:F12:H12)</f>
        <v>28848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62</v>
      </c>
      <c r="F14">
        <v>22</v>
      </c>
      <c r="H14">
        <v>0</v>
      </c>
      <c r="J14">
        <f>SUM(D14:F14:H14)</f>
        <v>84</v>
      </c>
    </row>
    <row r="15" spans="1:12">
      <c r="B15" t="s">
        <v>7</v>
      </c>
      <c r="D15">
        <f>SUM(D12:D13:D14)</f>
        <v>13993</v>
      </c>
      <c r="F15">
        <f>SUM(F12:F13:F14)</f>
        <v>14939</v>
      </c>
      <c r="H15">
        <f>SUM(H12:H13:H14)</f>
        <v>0</v>
      </c>
      <c r="J15">
        <f>SUM(D15:F15:H15)</f>
        <v>28932</v>
      </c>
    </row>
    <row r="17" spans="1:10">
      <c r="A17" t="s">
        <v>17</v>
      </c>
    </row>
    <row r="18" spans="1:10">
      <c r="B18" t="s">
        <v>14</v>
      </c>
      <c r="D18">
        <v>12814</v>
      </c>
      <c r="F18">
        <v>14409</v>
      </c>
      <c r="H18">
        <v>0</v>
      </c>
      <c r="J18">
        <f>SUM(D18:F18:H18)</f>
        <v>27223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258</v>
      </c>
    </row>
    <row r="22" spans="1:10">
      <c r="B22" t="s">
        <v>7</v>
      </c>
      <c r="J22">
        <f>SUM(J18:J19:J21)</f>
        <v>27481</v>
      </c>
    </row>
    <row r="23" spans="1:10">
      <c r="A23" t="s">
        <v>20</v>
      </c>
      <c r="J23">
        <f>J22/J15*100</f>
        <v>94.984791925895209</v>
      </c>
    </row>
    <row r="25" spans="1:10">
      <c r="A25" t="s">
        <v>21</v>
      </c>
    </row>
    <row r="26" spans="1:10">
      <c r="B26" t="s">
        <v>22</v>
      </c>
      <c r="C26">
        <v>8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J22-8</f>
        <v>27473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721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114</v>
      </c>
      <c r="G42">
        <v>15221</v>
      </c>
    </row>
    <row r="43" spans="1:7">
      <c r="B43" t="s">
        <v>41</v>
      </c>
      <c r="C43" t="s">
        <v>39</v>
      </c>
      <c r="E43" t="s">
        <v>115</v>
      </c>
      <c r="G43">
        <v>12127</v>
      </c>
    </row>
    <row r="44" spans="1:7">
      <c r="B44" t="s">
        <v>44</v>
      </c>
      <c r="C44">
        <v>3094</v>
      </c>
    </row>
  </sheetData>
  <mergeCells count="1">
    <mergeCell ref="A1:L1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116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2</v>
      </c>
      <c r="F5">
        <v>0</v>
      </c>
      <c r="H5">
        <v>0</v>
      </c>
      <c r="J5">
        <f>SUM(D5:F5:H5)</f>
        <v>2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2</v>
      </c>
      <c r="F8">
        <f>E5-E6-E7</f>
        <v>0</v>
      </c>
      <c r="H8">
        <f>F5-F6-F7</f>
        <v>0</v>
      </c>
      <c r="J8">
        <f>SUM(D8:F8:E8)</f>
        <v>2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15031</v>
      </c>
      <c r="F12">
        <v>15932</v>
      </c>
      <c r="H12">
        <v>0</v>
      </c>
      <c r="J12">
        <f>SUM(D12:F12:H12)</f>
        <v>30963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102</v>
      </c>
      <c r="F14">
        <v>27</v>
      </c>
      <c r="H14">
        <v>0</v>
      </c>
      <c r="J14">
        <f>SUM(D14:F14:H14)</f>
        <v>129</v>
      </c>
    </row>
    <row r="15" spans="1:12">
      <c r="B15" t="s">
        <v>7</v>
      </c>
      <c r="D15">
        <f>SUM(D12:D13:D14)</f>
        <v>15133</v>
      </c>
      <c r="F15">
        <f>SUM(F12:F13:F14)</f>
        <v>15959</v>
      </c>
      <c r="H15">
        <f>SUM(H12:H13:H14)</f>
        <v>0</v>
      </c>
      <c r="J15">
        <f>SUM(D15:F15:H15)</f>
        <v>31092</v>
      </c>
    </row>
    <row r="17" spans="1:10">
      <c r="A17" t="s">
        <v>17</v>
      </c>
    </row>
    <row r="18" spans="1:10">
      <c r="B18" t="s">
        <v>14</v>
      </c>
      <c r="D18">
        <v>13711</v>
      </c>
      <c r="F18">
        <v>15185</v>
      </c>
      <c r="H18">
        <v>0</v>
      </c>
      <c r="J18">
        <f>SUM(D18:F18:H18)</f>
        <v>28896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424</v>
      </c>
    </row>
    <row r="22" spans="1:10">
      <c r="B22" t="s">
        <v>7</v>
      </c>
      <c r="J22">
        <f>SUM(J18:J19:J21)</f>
        <v>29320</v>
      </c>
    </row>
    <row r="23" spans="1:10">
      <c r="A23" t="s">
        <v>20</v>
      </c>
      <c r="J23">
        <f>J22/J15*100</f>
        <v>94.300784767785927</v>
      </c>
    </row>
    <row r="25" spans="1:10">
      <c r="A25" t="s">
        <v>21</v>
      </c>
    </row>
    <row r="26" spans="1:10">
      <c r="B26" t="s">
        <v>22</v>
      </c>
      <c r="C26">
        <v>13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J22-13</f>
        <v>29307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45</v>
      </c>
    </row>
    <row r="32" spans="1:10">
      <c r="B32" t="s">
        <v>27</v>
      </c>
      <c r="C32">
        <v>688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117</v>
      </c>
      <c r="G42">
        <v>14736</v>
      </c>
    </row>
    <row r="43" spans="1:7">
      <c r="B43" t="s">
        <v>41</v>
      </c>
      <c r="C43" t="s">
        <v>42</v>
      </c>
      <c r="E43" t="s">
        <v>118</v>
      </c>
      <c r="G43">
        <v>14456</v>
      </c>
    </row>
    <row r="44" spans="1:7">
      <c r="B44" t="s">
        <v>44</v>
      </c>
      <c r="C44">
        <v>280</v>
      </c>
    </row>
  </sheetData>
  <mergeCells count="1">
    <mergeCell ref="A1:L1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119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12681</v>
      </c>
      <c r="F12">
        <v>13653</v>
      </c>
      <c r="H12">
        <v>0</v>
      </c>
      <c r="J12">
        <f>SUM(D12:F12:H12)</f>
        <v>26334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69</v>
      </c>
      <c r="F14">
        <v>12</v>
      </c>
      <c r="H14">
        <v>0</v>
      </c>
      <c r="J14">
        <f>SUM(D14:F14:H14)</f>
        <v>81</v>
      </c>
    </row>
    <row r="15" spans="1:12">
      <c r="B15" t="s">
        <v>7</v>
      </c>
      <c r="D15">
        <f>SUM(D12:D13:D14)</f>
        <v>12750</v>
      </c>
      <c r="F15">
        <f>SUM(F12:F13:F14)</f>
        <v>13665</v>
      </c>
      <c r="H15">
        <f>SUM(H12:H13:H14)</f>
        <v>0</v>
      </c>
      <c r="J15">
        <f>SUM(D15:F15:H15)</f>
        <v>26415</v>
      </c>
    </row>
    <row r="17" spans="1:10">
      <c r="A17" t="s">
        <v>17</v>
      </c>
    </row>
    <row r="18" spans="1:10">
      <c r="B18" t="s">
        <v>14</v>
      </c>
      <c r="D18">
        <v>11411</v>
      </c>
      <c r="F18">
        <v>12827</v>
      </c>
      <c r="H18">
        <v>0</v>
      </c>
      <c r="J18">
        <f>SUM(D18:F18:H18)</f>
        <v>24238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295</v>
      </c>
    </row>
    <row r="22" spans="1:10">
      <c r="B22" t="s">
        <v>7</v>
      </c>
      <c r="J22">
        <f>SUM(J18:J19:J21)</f>
        <v>24533</v>
      </c>
    </row>
    <row r="23" spans="1:10">
      <c r="A23" t="s">
        <v>20</v>
      </c>
      <c r="J23">
        <f>J22/J15*100</f>
        <v>92.875260268786676</v>
      </c>
    </row>
    <row r="25" spans="1:10">
      <c r="A25" t="s">
        <v>21</v>
      </c>
    </row>
    <row r="26" spans="1:10">
      <c r="B26" t="s">
        <v>22</v>
      </c>
      <c r="C26">
        <v>17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J22-17</f>
        <v>24516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675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120</v>
      </c>
      <c r="G42">
        <v>12029</v>
      </c>
    </row>
    <row r="43" spans="1:7">
      <c r="B43" t="s">
        <v>41</v>
      </c>
      <c r="C43" t="s">
        <v>39</v>
      </c>
      <c r="E43" t="s">
        <v>121</v>
      </c>
      <c r="G43">
        <v>11186</v>
      </c>
    </row>
    <row r="44" spans="1:7">
      <c r="B44" t="s">
        <v>44</v>
      </c>
      <c r="C44">
        <v>843</v>
      </c>
    </row>
  </sheetData>
  <mergeCells count="1">
    <mergeCell ref="A1:L1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1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1</v>
      </c>
      <c r="J8">
        <f>SUM(D8:F8:E8)</f>
        <v>3</v>
      </c>
    </row>
    <row r="9" spans="1:12">
      <c r="A9" t="s">
        <v>12</v>
      </c>
      <c r="D9">
        <v>1</v>
      </c>
      <c r="F9">
        <v>1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14169</v>
      </c>
      <c r="F12">
        <v>15259</v>
      </c>
      <c r="H12">
        <v>0</v>
      </c>
      <c r="J12">
        <f>SUM(D12:F12:H12)</f>
        <v>29428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94</v>
      </c>
      <c r="F14">
        <v>38</v>
      </c>
      <c r="H14">
        <v>0</v>
      </c>
      <c r="J14">
        <f>SUM(D14:F14:H14)</f>
        <v>132</v>
      </c>
    </row>
    <row r="15" spans="1:12">
      <c r="B15" t="s">
        <v>7</v>
      </c>
      <c r="D15">
        <f>SUM(D12:D13:D14)</f>
        <v>14263</v>
      </c>
      <c r="F15">
        <f>SUM(F12:F13:F14)</f>
        <v>15297</v>
      </c>
      <c r="H15">
        <f>SUM(H12:H13:H14)</f>
        <v>0</v>
      </c>
      <c r="J15">
        <f>SUM(D15:F15:H15)</f>
        <v>29560</v>
      </c>
    </row>
    <row r="17" spans="1:10">
      <c r="A17" t="s">
        <v>17</v>
      </c>
    </row>
    <row r="18" spans="1:10">
      <c r="B18" t="s">
        <v>14</v>
      </c>
      <c r="D18">
        <v>12229</v>
      </c>
      <c r="F18">
        <v>14094</v>
      </c>
      <c r="H18">
        <v>0</v>
      </c>
      <c r="J18">
        <f>SUM(D18:F18:H18)</f>
        <v>26323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319</v>
      </c>
    </row>
    <row r="22" spans="1:10">
      <c r="B22" t="s">
        <v>7</v>
      </c>
      <c r="J22">
        <f>SUM(J18:J19:J21)</f>
        <v>26642</v>
      </c>
    </row>
    <row r="23" spans="1:10">
      <c r="A23" t="s">
        <v>20</v>
      </c>
      <c r="J23">
        <f>J22/J15*100</f>
        <v>90.128552097428965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26641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736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123</v>
      </c>
      <c r="G42">
        <v>14150</v>
      </c>
    </row>
    <row r="43" spans="1:7">
      <c r="B43" t="s">
        <v>41</v>
      </c>
      <c r="C43" t="s">
        <v>42</v>
      </c>
      <c r="E43" t="s">
        <v>124</v>
      </c>
      <c r="G43">
        <v>8872</v>
      </c>
    </row>
    <row r="44" spans="1:7">
      <c r="B44" t="s">
        <v>44</v>
      </c>
      <c r="C44">
        <v>5278</v>
      </c>
    </row>
  </sheetData>
  <mergeCells count="1">
    <mergeCell ref="A1:L1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17239</v>
      </c>
      <c r="F12">
        <v>17864</v>
      </c>
      <c r="H12">
        <v>0</v>
      </c>
      <c r="J12">
        <f>SUM(D12:F12:H12)</f>
        <v>35103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194</v>
      </c>
      <c r="F14">
        <v>67</v>
      </c>
      <c r="H14">
        <v>0</v>
      </c>
      <c r="J14">
        <f>SUM(D14:F14:H14)</f>
        <v>261</v>
      </c>
    </row>
    <row r="15" spans="1:12">
      <c r="B15" t="s">
        <v>7</v>
      </c>
      <c r="D15">
        <f>SUM(D12:D13:D14)</f>
        <v>17433</v>
      </c>
      <c r="F15">
        <f>SUM(F12:F13:F14)</f>
        <v>17931</v>
      </c>
      <c r="H15">
        <f>SUM(H12:H13:H14)</f>
        <v>0</v>
      </c>
      <c r="J15">
        <f>SUM(D15:F15:H15)</f>
        <v>35364</v>
      </c>
    </row>
    <row r="17" spans="1:10">
      <c r="A17" t="s">
        <v>17</v>
      </c>
    </row>
    <row r="18" spans="1:10">
      <c r="B18" t="s">
        <v>14</v>
      </c>
      <c r="D18">
        <v>14891</v>
      </c>
      <c r="F18">
        <v>16449</v>
      </c>
      <c r="H18">
        <v>0</v>
      </c>
      <c r="J18">
        <f>SUM(D18:F18:H18)</f>
        <v>31340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277</v>
      </c>
    </row>
    <row r="22" spans="1:10">
      <c r="B22" t="s">
        <v>7</v>
      </c>
      <c r="J22">
        <f>SUM(J18:J19:J21)</f>
        <v>31617</v>
      </c>
    </row>
    <row r="23" spans="1:10">
      <c r="A23" t="s">
        <v>20</v>
      </c>
      <c r="J23">
        <f>J22/J15*100</f>
        <v>89.404479131319988</v>
      </c>
    </row>
    <row r="25" spans="1:10">
      <c r="A25" t="s">
        <v>21</v>
      </c>
    </row>
    <row r="26" spans="1:10">
      <c r="B26" t="s">
        <v>22</v>
      </c>
      <c r="C26">
        <v>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</f>
        <v>31613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43</v>
      </c>
    </row>
    <row r="32" spans="1:10">
      <c r="B32" t="s">
        <v>27</v>
      </c>
      <c r="C32">
        <v>816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126</v>
      </c>
      <c r="G42">
        <v>11708</v>
      </c>
    </row>
    <row r="43" spans="1:7">
      <c r="B43" t="s">
        <v>41</v>
      </c>
      <c r="C43" t="s">
        <v>39</v>
      </c>
      <c r="E43" t="s">
        <v>127</v>
      </c>
      <c r="G43">
        <v>11333</v>
      </c>
    </row>
    <row r="44" spans="1:7">
      <c r="B44" t="s">
        <v>44</v>
      </c>
      <c r="C44">
        <v>375</v>
      </c>
    </row>
  </sheetData>
  <mergeCells count="1">
    <mergeCell ref="A1:L1"/>
  </mergeCells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128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10373</v>
      </c>
      <c r="F12">
        <v>10506</v>
      </c>
      <c r="H12">
        <v>0</v>
      </c>
      <c r="J12">
        <f>SUM(D12:F12:H12)</f>
        <v>20879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31</v>
      </c>
      <c r="F14">
        <v>11</v>
      </c>
      <c r="H14">
        <v>0</v>
      </c>
      <c r="J14">
        <f>SUM(D14:F14:H14)</f>
        <v>42</v>
      </c>
    </row>
    <row r="15" spans="1:12">
      <c r="B15" t="s">
        <v>7</v>
      </c>
      <c r="D15">
        <f>SUM(D12:D13:D14)</f>
        <v>10404</v>
      </c>
      <c r="F15">
        <f>SUM(F12:F13:F14)</f>
        <v>10517</v>
      </c>
      <c r="H15">
        <f>SUM(H12:H13:H14)</f>
        <v>0</v>
      </c>
      <c r="J15">
        <f>SUM(D15:F15:H15)</f>
        <v>20921</v>
      </c>
    </row>
    <row r="17" spans="1:10">
      <c r="A17" t="s">
        <v>17</v>
      </c>
    </row>
    <row r="18" spans="1:10">
      <c r="B18" t="s">
        <v>14</v>
      </c>
      <c r="D18">
        <v>9417</v>
      </c>
      <c r="F18">
        <v>9956</v>
      </c>
      <c r="H18">
        <v>0</v>
      </c>
      <c r="J18">
        <f>SUM(D18:F18:H18)</f>
        <v>19373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194</v>
      </c>
    </row>
    <row r="22" spans="1:10">
      <c r="B22" t="s">
        <v>7</v>
      </c>
      <c r="J22">
        <f>SUM(J18:J19:J21)</f>
        <v>19567</v>
      </c>
    </row>
    <row r="23" spans="1:10">
      <c r="A23" t="s">
        <v>20</v>
      </c>
      <c r="J23">
        <f>J22/J15*100</f>
        <v>93.528034032790018</v>
      </c>
    </row>
    <row r="25" spans="1:10">
      <c r="A25" t="s">
        <v>21</v>
      </c>
    </row>
    <row r="26" spans="1:10">
      <c r="B26" t="s">
        <v>22</v>
      </c>
      <c r="C26">
        <v>20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J22-20</f>
        <v>19547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26</v>
      </c>
    </row>
    <row r="32" spans="1:10">
      <c r="B32" t="s">
        <v>27</v>
      </c>
      <c r="C32">
        <v>803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47</v>
      </c>
      <c r="E42" t="s">
        <v>129</v>
      </c>
      <c r="G42">
        <v>6462</v>
      </c>
    </row>
    <row r="43" spans="1:7">
      <c r="B43" t="s">
        <v>41</v>
      </c>
      <c r="C43" t="s">
        <v>42</v>
      </c>
      <c r="E43" t="s">
        <v>130</v>
      </c>
      <c r="G43">
        <v>5457</v>
      </c>
    </row>
    <row r="44" spans="1:7">
      <c r="B44" t="s">
        <v>44</v>
      </c>
      <c r="C44">
        <v>1005</v>
      </c>
    </row>
  </sheetData>
  <mergeCells count="1">
    <mergeCell ref="A1:L1"/>
  </mergeCell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131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12917</v>
      </c>
      <c r="F12">
        <v>13049</v>
      </c>
      <c r="H12">
        <v>0</v>
      </c>
      <c r="J12">
        <f>SUM(D12:F12:H12)</f>
        <v>25966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45</v>
      </c>
      <c r="F14">
        <v>21</v>
      </c>
      <c r="H14">
        <v>0</v>
      </c>
      <c r="J14">
        <f>SUM(D14:F14:H14)</f>
        <v>66</v>
      </c>
    </row>
    <row r="15" spans="1:12">
      <c r="B15" t="s">
        <v>7</v>
      </c>
      <c r="D15">
        <f>SUM(D12:D13:D14)</f>
        <v>12962</v>
      </c>
      <c r="F15">
        <f>SUM(F12:F13:F14)</f>
        <v>13070</v>
      </c>
      <c r="H15">
        <f>SUM(H12:H13:H14)</f>
        <v>0</v>
      </c>
      <c r="J15">
        <f>SUM(D15:F15:H15)</f>
        <v>26032</v>
      </c>
    </row>
    <row r="17" spans="1:10">
      <c r="A17" t="s">
        <v>17</v>
      </c>
    </row>
    <row r="18" spans="1:10">
      <c r="B18" t="s">
        <v>14</v>
      </c>
      <c r="D18">
        <v>11472</v>
      </c>
      <c r="F18">
        <v>12214</v>
      </c>
      <c r="H18">
        <v>0</v>
      </c>
      <c r="J18">
        <f>SUM(D18:F18:H18)</f>
        <v>23686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122</v>
      </c>
    </row>
    <row r="22" spans="1:10">
      <c r="B22" t="s">
        <v>7</v>
      </c>
      <c r="J22">
        <f>SUM(J18:J19:J21)</f>
        <v>23808</v>
      </c>
    </row>
    <row r="23" spans="1:10">
      <c r="A23" t="s">
        <v>20</v>
      </c>
      <c r="J23">
        <f>J22/J15*100</f>
        <v>91.45666871542717</v>
      </c>
    </row>
    <row r="25" spans="1:10">
      <c r="A25" t="s">
        <v>21</v>
      </c>
    </row>
    <row r="26" spans="1:10">
      <c r="B26" t="s">
        <v>22</v>
      </c>
      <c r="C26">
        <v>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</f>
        <v>23805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34</v>
      </c>
    </row>
    <row r="32" spans="1:10">
      <c r="B32" t="s">
        <v>27</v>
      </c>
      <c r="C32">
        <v>764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132</v>
      </c>
      <c r="G42">
        <v>11881</v>
      </c>
    </row>
    <row r="43" spans="1:7">
      <c r="B43" t="s">
        <v>41</v>
      </c>
      <c r="C43" t="s">
        <v>42</v>
      </c>
      <c r="E43" t="s">
        <v>133</v>
      </c>
      <c r="G43">
        <v>10570</v>
      </c>
    </row>
    <row r="44" spans="1:7">
      <c r="B44" t="s">
        <v>44</v>
      </c>
      <c r="C44">
        <v>1311</v>
      </c>
    </row>
  </sheetData>
  <mergeCells count="1">
    <mergeCell ref="A1:L1"/>
  </mergeCells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134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0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15314</v>
      </c>
      <c r="F12">
        <v>15817</v>
      </c>
      <c r="H12">
        <v>0</v>
      </c>
      <c r="J12">
        <f>SUM(D12:F12:H12)</f>
        <v>31131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36</v>
      </c>
      <c r="F14">
        <v>15</v>
      </c>
      <c r="H14">
        <v>0</v>
      </c>
      <c r="J14">
        <f>SUM(D14:F14:H14)</f>
        <v>51</v>
      </c>
    </row>
    <row r="15" spans="1:12">
      <c r="B15" t="s">
        <v>7</v>
      </c>
      <c r="D15">
        <f>SUM(D12:D13:D14)</f>
        <v>15350</v>
      </c>
      <c r="F15">
        <f>SUM(F12:F13:F14)</f>
        <v>15832</v>
      </c>
      <c r="H15">
        <f>SUM(H12:H13:H14)</f>
        <v>0</v>
      </c>
      <c r="J15">
        <f>SUM(D15:F15:H15)</f>
        <v>31182</v>
      </c>
    </row>
    <row r="17" spans="1:10">
      <c r="A17" t="s">
        <v>17</v>
      </c>
    </row>
    <row r="18" spans="1:10">
      <c r="B18" t="s">
        <v>14</v>
      </c>
      <c r="D18">
        <v>13585</v>
      </c>
      <c r="F18">
        <v>15218</v>
      </c>
      <c r="H18">
        <v>0</v>
      </c>
      <c r="J18">
        <f>SUM(D18:F18:H18)</f>
        <v>28803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535</v>
      </c>
    </row>
    <row r="22" spans="1:10">
      <c r="B22" t="s">
        <v>7</v>
      </c>
      <c r="J22">
        <f>SUM(J18:J19:J21)</f>
        <v>29338</v>
      </c>
    </row>
    <row r="23" spans="1:10">
      <c r="A23" t="s">
        <v>20</v>
      </c>
      <c r="J23">
        <f>J22/J15*100</f>
        <v>94.086331858123273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29337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798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135</v>
      </c>
      <c r="G42">
        <v>10765</v>
      </c>
    </row>
    <row r="43" spans="1:7">
      <c r="B43" t="s">
        <v>41</v>
      </c>
      <c r="C43" t="s">
        <v>60</v>
      </c>
      <c r="E43" t="s">
        <v>136</v>
      </c>
      <c r="G43">
        <v>9497</v>
      </c>
    </row>
    <row r="44" spans="1:7">
      <c r="B44" t="s">
        <v>44</v>
      </c>
      <c r="C44">
        <v>1268</v>
      </c>
    </row>
  </sheetData>
  <mergeCells count="1">
    <mergeCell ref="A1:L1"/>
  </mergeCells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137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1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1</v>
      </c>
      <c r="J8">
        <f>SUM(D8:F8:E8)</f>
        <v>4</v>
      </c>
    </row>
    <row r="9" spans="1:12">
      <c r="A9" t="s">
        <v>12</v>
      </c>
      <c r="D9">
        <v>2</v>
      </c>
      <c r="F9">
        <v>1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14412</v>
      </c>
      <c r="F12">
        <v>15464</v>
      </c>
      <c r="H12">
        <v>0</v>
      </c>
      <c r="J12">
        <f>SUM(D12:F12:H12)</f>
        <v>29876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103</v>
      </c>
      <c r="F14">
        <v>23</v>
      </c>
      <c r="H14">
        <v>0</v>
      </c>
      <c r="J14">
        <f>SUM(D14:F14:H14)</f>
        <v>126</v>
      </c>
    </row>
    <row r="15" spans="1:12">
      <c r="B15" t="s">
        <v>7</v>
      </c>
      <c r="D15">
        <f>SUM(D12:D13:D14)</f>
        <v>14515</v>
      </c>
      <c r="F15">
        <f>SUM(F12:F13:F14)</f>
        <v>15487</v>
      </c>
      <c r="H15">
        <f>SUM(H12:H13:H14)</f>
        <v>0</v>
      </c>
      <c r="J15">
        <f>SUM(D15:F15:H15)</f>
        <v>30002</v>
      </c>
    </row>
    <row r="17" spans="1:10">
      <c r="A17" t="s">
        <v>17</v>
      </c>
    </row>
    <row r="18" spans="1:10">
      <c r="B18" t="s">
        <v>14</v>
      </c>
      <c r="D18">
        <v>12182</v>
      </c>
      <c r="F18">
        <v>14515</v>
      </c>
      <c r="H18">
        <v>0</v>
      </c>
      <c r="J18">
        <f>SUM(D18:F18:H18)</f>
        <v>26697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582</v>
      </c>
    </row>
    <row r="22" spans="1:10">
      <c r="B22" t="s">
        <v>7</v>
      </c>
      <c r="J22">
        <f>SUM(J18:J19:J21)</f>
        <v>27279</v>
      </c>
    </row>
    <row r="23" spans="1:10">
      <c r="A23" t="s">
        <v>20</v>
      </c>
      <c r="J23">
        <f>J22/J15*100</f>
        <v>90.923938404106394</v>
      </c>
    </row>
    <row r="25" spans="1:10">
      <c r="A25" t="s">
        <v>21</v>
      </c>
    </row>
    <row r="26" spans="1:10">
      <c r="B26" t="s">
        <v>22</v>
      </c>
      <c r="C26">
        <v>8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J22-8</f>
        <v>27271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747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138</v>
      </c>
      <c r="G42">
        <v>18649</v>
      </c>
    </row>
    <row r="43" spans="1:7">
      <c r="B43" t="s">
        <v>41</v>
      </c>
      <c r="C43" t="s">
        <v>42</v>
      </c>
      <c r="E43" t="s">
        <v>139</v>
      </c>
      <c r="G43">
        <v>8179</v>
      </c>
    </row>
    <row r="44" spans="1:7">
      <c r="B44" t="s">
        <v>44</v>
      </c>
      <c r="C44">
        <v>10470</v>
      </c>
    </row>
  </sheetData>
  <mergeCells count="1">
    <mergeCell ref="A1:L1"/>
  </mergeCells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15203</v>
      </c>
      <c r="F12">
        <v>15868</v>
      </c>
      <c r="H12">
        <v>0</v>
      </c>
      <c r="J12">
        <f>SUM(D12:F12:H12)</f>
        <v>31071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148</v>
      </c>
      <c r="F14">
        <v>28</v>
      </c>
      <c r="H14">
        <v>0</v>
      </c>
      <c r="J14">
        <f>SUM(D14:F14:H14)</f>
        <v>176</v>
      </c>
    </row>
    <row r="15" spans="1:12">
      <c r="B15" t="s">
        <v>7</v>
      </c>
      <c r="D15">
        <f>SUM(D12:D13:D14)</f>
        <v>15351</v>
      </c>
      <c r="F15">
        <f>SUM(F12:F13:F14)</f>
        <v>15896</v>
      </c>
      <c r="H15">
        <f>SUM(H12:H13:H14)</f>
        <v>0</v>
      </c>
      <c r="J15">
        <f>SUM(D15:F15:H15)</f>
        <v>31247</v>
      </c>
    </row>
    <row r="17" spans="1:10">
      <c r="A17" t="s">
        <v>17</v>
      </c>
    </row>
    <row r="18" spans="1:10">
      <c r="B18" t="s">
        <v>14</v>
      </c>
      <c r="D18">
        <v>13239</v>
      </c>
      <c r="F18">
        <v>14876</v>
      </c>
      <c r="H18">
        <v>0</v>
      </c>
      <c r="J18">
        <f>SUM(D18:F18:H18)</f>
        <v>28115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507</v>
      </c>
    </row>
    <row r="22" spans="1:10">
      <c r="B22" t="s">
        <v>7</v>
      </c>
      <c r="J22">
        <f>SUM(J18:J19:J21)</f>
        <v>28622</v>
      </c>
    </row>
    <row r="23" spans="1:10">
      <c r="A23" t="s">
        <v>20</v>
      </c>
      <c r="J23">
        <f>J22/J15*100</f>
        <v>91.599193522578176</v>
      </c>
    </row>
    <row r="25" spans="1:10">
      <c r="A25" t="s">
        <v>21</v>
      </c>
    </row>
    <row r="26" spans="1:10">
      <c r="B26" t="s">
        <v>22</v>
      </c>
      <c r="C26">
        <v>44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J22-44</f>
        <v>28578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818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141</v>
      </c>
      <c r="G42">
        <v>11293</v>
      </c>
    </row>
    <row r="43" spans="1:7">
      <c r="B43" t="s">
        <v>41</v>
      </c>
      <c r="C43" t="s">
        <v>101</v>
      </c>
      <c r="E43" t="s">
        <v>142</v>
      </c>
      <c r="G43">
        <v>8413</v>
      </c>
    </row>
    <row r="44" spans="1:7">
      <c r="B44" t="s">
        <v>44</v>
      </c>
      <c r="C44">
        <v>2880</v>
      </c>
    </row>
  </sheetData>
  <mergeCells count="1">
    <mergeCell ref="A1:L1"/>
  </mergeCells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14776</v>
      </c>
      <c r="F12">
        <v>15429</v>
      </c>
      <c r="H12">
        <v>0</v>
      </c>
      <c r="J12">
        <f>SUM(D12:F12:H12)</f>
        <v>30205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83</v>
      </c>
      <c r="F14">
        <v>9</v>
      </c>
      <c r="H14">
        <v>0</v>
      </c>
      <c r="J14">
        <f>SUM(D14:F14:H14)</f>
        <v>92</v>
      </c>
    </row>
    <row r="15" spans="1:12">
      <c r="B15" t="s">
        <v>7</v>
      </c>
      <c r="D15">
        <f>SUM(D12:D13:D14)</f>
        <v>14859</v>
      </c>
      <c r="F15">
        <f>SUM(F12:F13:F14)</f>
        <v>15438</v>
      </c>
      <c r="H15">
        <f>SUM(H12:H13:H14)</f>
        <v>0</v>
      </c>
      <c r="J15">
        <f>SUM(D15:F15:H15)</f>
        <v>30297</v>
      </c>
    </row>
    <row r="17" spans="1:10">
      <c r="A17" t="s">
        <v>17</v>
      </c>
    </row>
    <row r="18" spans="1:10">
      <c r="B18" t="s">
        <v>14</v>
      </c>
      <c r="D18">
        <v>13522</v>
      </c>
      <c r="F18">
        <v>14776</v>
      </c>
      <c r="H18">
        <v>0</v>
      </c>
      <c r="J18">
        <f>SUM(D18:F18:H18)</f>
        <v>28298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417</v>
      </c>
    </row>
    <row r="22" spans="1:10">
      <c r="B22" t="s">
        <v>7</v>
      </c>
      <c r="J22">
        <f>SUM(J18:J19:J21)</f>
        <v>28715</v>
      </c>
    </row>
    <row r="23" spans="1:10">
      <c r="A23" t="s">
        <v>20</v>
      </c>
      <c r="J23">
        <f>J22/J15*100</f>
        <v>94.778360893817876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28715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795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144</v>
      </c>
      <c r="G42">
        <v>13389</v>
      </c>
    </row>
    <row r="43" spans="1:7">
      <c r="B43" t="s">
        <v>41</v>
      </c>
      <c r="C43" t="s">
        <v>39</v>
      </c>
      <c r="E43" t="s">
        <v>145</v>
      </c>
      <c r="G43">
        <v>11742</v>
      </c>
    </row>
    <row r="44" spans="1:7">
      <c r="B44" t="s">
        <v>44</v>
      </c>
      <c r="C44">
        <v>1647</v>
      </c>
    </row>
  </sheetData>
  <mergeCells count="1">
    <mergeCell ref="A1:L1"/>
  </mergeCells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146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15295</v>
      </c>
      <c r="F12">
        <v>16633</v>
      </c>
      <c r="H12">
        <v>0</v>
      </c>
      <c r="J12">
        <f>SUM(D12:F12:H12)</f>
        <v>31928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130</v>
      </c>
      <c r="F14">
        <v>39</v>
      </c>
      <c r="H14">
        <v>0</v>
      </c>
      <c r="J14">
        <f>SUM(D14:F14:H14)</f>
        <v>169</v>
      </c>
    </row>
    <row r="15" spans="1:12">
      <c r="B15" t="s">
        <v>7</v>
      </c>
      <c r="D15">
        <f>SUM(D12:D13:D14)</f>
        <v>15425</v>
      </c>
      <c r="F15">
        <f>SUM(F12:F13:F14)</f>
        <v>16672</v>
      </c>
      <c r="H15">
        <f>SUM(H12:H13:H14)</f>
        <v>0</v>
      </c>
      <c r="J15">
        <f>SUM(D15:F15:H15)</f>
        <v>32097</v>
      </c>
    </row>
    <row r="17" spans="1:10">
      <c r="A17" t="s">
        <v>17</v>
      </c>
    </row>
    <row r="18" spans="1:10">
      <c r="B18" t="s">
        <v>14</v>
      </c>
      <c r="D18">
        <v>13783</v>
      </c>
      <c r="F18">
        <v>15534</v>
      </c>
      <c r="H18">
        <v>0</v>
      </c>
      <c r="J18">
        <f>SUM(D18:F18:H18)</f>
        <v>29317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268</v>
      </c>
    </row>
    <row r="22" spans="1:10">
      <c r="B22" t="s">
        <v>7</v>
      </c>
      <c r="J22">
        <f>SUM(J18:J19:J21)</f>
        <v>29585</v>
      </c>
    </row>
    <row r="23" spans="1:10">
      <c r="A23" t="s">
        <v>20</v>
      </c>
      <c r="J23">
        <f>J22/J15*100</f>
        <v>92.173723400940901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29585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37</v>
      </c>
    </row>
    <row r="32" spans="1:10">
      <c r="B32" t="s">
        <v>27</v>
      </c>
      <c r="C32">
        <v>863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147</v>
      </c>
      <c r="G42">
        <v>12830</v>
      </c>
    </row>
    <row r="43" spans="1:7">
      <c r="B43" t="s">
        <v>41</v>
      </c>
      <c r="C43" t="s">
        <v>42</v>
      </c>
      <c r="E43" t="s">
        <v>148</v>
      </c>
      <c r="G43">
        <v>10967</v>
      </c>
    </row>
    <row r="44" spans="1:7">
      <c r="B44" t="s">
        <v>44</v>
      </c>
      <c r="C44">
        <v>1863</v>
      </c>
    </row>
  </sheetData>
  <mergeCells count="1">
    <mergeCell ref="A1:L1"/>
  </mergeCells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149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16561</v>
      </c>
      <c r="F12">
        <v>18162</v>
      </c>
      <c r="H12">
        <v>0</v>
      </c>
      <c r="J12">
        <f>SUM(D12:F12:H12)</f>
        <v>34723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146</v>
      </c>
      <c r="F14">
        <v>18</v>
      </c>
      <c r="H14">
        <v>0</v>
      </c>
      <c r="J14">
        <f>SUM(D14:F14:H14)</f>
        <v>164</v>
      </c>
    </row>
    <row r="15" spans="1:12">
      <c r="B15" t="s">
        <v>7</v>
      </c>
      <c r="D15">
        <f>SUM(D12:D13:D14)</f>
        <v>16707</v>
      </c>
      <c r="F15">
        <f>SUM(F12:F13:F14)</f>
        <v>18180</v>
      </c>
      <c r="H15">
        <f>SUM(H12:H13:H14)</f>
        <v>0</v>
      </c>
      <c r="J15">
        <f>SUM(D15:F15:H15)</f>
        <v>34887</v>
      </c>
    </row>
    <row r="17" spans="1:10">
      <c r="A17" t="s">
        <v>17</v>
      </c>
    </row>
    <row r="18" spans="1:10">
      <c r="B18" t="s">
        <v>14</v>
      </c>
      <c r="D18">
        <v>14667</v>
      </c>
      <c r="F18">
        <v>17169</v>
      </c>
      <c r="H18">
        <v>0</v>
      </c>
      <c r="J18">
        <f>SUM(D18:F18:H18)</f>
        <v>31836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597</v>
      </c>
    </row>
    <row r="22" spans="1:10">
      <c r="B22" t="s">
        <v>7</v>
      </c>
      <c r="J22">
        <f>SUM(J18:J19:J21)</f>
        <v>32433</v>
      </c>
    </row>
    <row r="23" spans="1:10">
      <c r="A23" t="s">
        <v>20</v>
      </c>
      <c r="J23">
        <f>J22/J15*100</f>
        <v>92.965861209046352</v>
      </c>
    </row>
    <row r="25" spans="1:10">
      <c r="A25" t="s">
        <v>21</v>
      </c>
    </row>
    <row r="26" spans="1:10">
      <c r="B26" t="s">
        <v>22</v>
      </c>
      <c r="C26">
        <v>74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J22-74</f>
        <v>32359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46</v>
      </c>
    </row>
    <row r="32" spans="1:10">
      <c r="B32" t="s">
        <v>27</v>
      </c>
      <c r="C32">
        <v>755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150</v>
      </c>
      <c r="G42">
        <v>20781</v>
      </c>
    </row>
    <row r="43" spans="1:7">
      <c r="B43" t="s">
        <v>41</v>
      </c>
      <c r="C43" t="s">
        <v>42</v>
      </c>
      <c r="E43" t="s">
        <v>151</v>
      </c>
      <c r="G43">
        <v>11329</v>
      </c>
    </row>
    <row r="44" spans="1:7">
      <c r="B44" t="s">
        <v>44</v>
      </c>
      <c r="C44">
        <v>9452</v>
      </c>
    </row>
  </sheetData>
  <mergeCells count="1">
    <mergeCell ref="A1:L1"/>
  </mergeCells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152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1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1</v>
      </c>
      <c r="J8">
        <f>SUM(D8:F8:E8)</f>
        <v>5</v>
      </c>
    </row>
    <row r="9" spans="1:12">
      <c r="A9" t="s">
        <v>12</v>
      </c>
      <c r="D9">
        <v>2</v>
      </c>
      <c r="F9">
        <v>1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14071</v>
      </c>
      <c r="F12">
        <v>15481</v>
      </c>
      <c r="H12">
        <v>0</v>
      </c>
      <c r="J12">
        <f>SUM(D12:F12:H12)</f>
        <v>29552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65</v>
      </c>
      <c r="F14">
        <v>17</v>
      </c>
      <c r="H14">
        <v>0</v>
      </c>
      <c r="J14">
        <f>SUM(D14:F14:H14)</f>
        <v>82</v>
      </c>
    </row>
    <row r="15" spans="1:12">
      <c r="B15" t="s">
        <v>7</v>
      </c>
      <c r="D15">
        <f>SUM(D12:D13:D14)</f>
        <v>14136</v>
      </c>
      <c r="F15">
        <f>SUM(F12:F13:F14)</f>
        <v>15498</v>
      </c>
      <c r="H15">
        <f>SUM(H12:H13:H14)</f>
        <v>0</v>
      </c>
      <c r="J15">
        <f>SUM(D15:F15:H15)</f>
        <v>29634</v>
      </c>
    </row>
    <row r="17" spans="1:10">
      <c r="A17" t="s">
        <v>17</v>
      </c>
    </row>
    <row r="18" spans="1:10">
      <c r="B18" t="s">
        <v>14</v>
      </c>
      <c r="D18">
        <v>12892</v>
      </c>
      <c r="F18">
        <v>14582</v>
      </c>
      <c r="H18">
        <v>0</v>
      </c>
      <c r="J18">
        <f>SUM(D18:F18:H18)</f>
        <v>27474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150</v>
      </c>
    </row>
    <row r="22" spans="1:10">
      <c r="B22" t="s">
        <v>7</v>
      </c>
      <c r="J22">
        <f>SUM(J18:J19:J21)</f>
        <v>27624</v>
      </c>
    </row>
    <row r="23" spans="1:10">
      <c r="A23" t="s">
        <v>20</v>
      </c>
      <c r="J23">
        <f>J22/J15*100</f>
        <v>93.217250455557803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27622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36</v>
      </c>
    </row>
    <row r="32" spans="1:10">
      <c r="B32" t="s">
        <v>27</v>
      </c>
      <c r="C32">
        <v>821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153</v>
      </c>
      <c r="G42">
        <v>12474</v>
      </c>
    </row>
    <row r="43" spans="1:7">
      <c r="B43" t="s">
        <v>41</v>
      </c>
      <c r="C43" t="s">
        <v>42</v>
      </c>
      <c r="E43" t="s">
        <v>154</v>
      </c>
      <c r="G43">
        <v>7713</v>
      </c>
    </row>
    <row r="44" spans="1:7">
      <c r="B44" t="s">
        <v>44</v>
      </c>
      <c r="C44">
        <v>4761</v>
      </c>
    </row>
  </sheetData>
  <mergeCells count="1">
    <mergeCell ref="A1:L1"/>
  </mergeCells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155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13432</v>
      </c>
      <c r="F12">
        <v>14241</v>
      </c>
      <c r="H12">
        <v>0</v>
      </c>
      <c r="J12">
        <f>SUM(D12:F12:H12)</f>
        <v>27673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175</v>
      </c>
      <c r="F14">
        <v>31</v>
      </c>
      <c r="H14">
        <v>0</v>
      </c>
      <c r="J14">
        <f>SUM(D14:F14:H14)</f>
        <v>206</v>
      </c>
    </row>
    <row r="15" spans="1:12">
      <c r="B15" t="s">
        <v>7</v>
      </c>
      <c r="D15">
        <f>SUM(D12:D13:D14)</f>
        <v>13607</v>
      </c>
      <c r="F15">
        <f>SUM(F12:F13:F14)</f>
        <v>14272</v>
      </c>
      <c r="H15">
        <f>SUM(H12:H13:H14)</f>
        <v>0</v>
      </c>
      <c r="J15">
        <f>SUM(D15:F15:H15)</f>
        <v>27879</v>
      </c>
    </row>
    <row r="17" spans="1:10">
      <c r="A17" t="s">
        <v>17</v>
      </c>
    </row>
    <row r="18" spans="1:10">
      <c r="B18" t="s">
        <v>14</v>
      </c>
      <c r="D18">
        <v>11067</v>
      </c>
      <c r="F18">
        <v>12847</v>
      </c>
      <c r="H18">
        <v>0</v>
      </c>
      <c r="J18">
        <f>SUM(D18:F18:H18)</f>
        <v>23914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186</v>
      </c>
    </row>
    <row r="22" spans="1:10">
      <c r="B22" t="s">
        <v>7</v>
      </c>
      <c r="J22">
        <f>SUM(J18:J19:J21)</f>
        <v>24100</v>
      </c>
    </row>
    <row r="23" spans="1:10">
      <c r="A23" t="s">
        <v>20</v>
      </c>
      <c r="J23">
        <f>J22/J15*100</f>
        <v>86.444994440259691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24100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33</v>
      </c>
    </row>
    <row r="32" spans="1:10">
      <c r="B32" t="s">
        <v>27</v>
      </c>
      <c r="C32">
        <v>839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156</v>
      </c>
      <c r="G42">
        <v>11133</v>
      </c>
    </row>
    <row r="43" spans="1:7">
      <c r="B43" t="s">
        <v>41</v>
      </c>
      <c r="C43" t="s">
        <v>42</v>
      </c>
      <c r="E43" t="s">
        <v>157</v>
      </c>
      <c r="G43">
        <v>10503</v>
      </c>
    </row>
    <row r="44" spans="1:7">
      <c r="B44" t="s">
        <v>44</v>
      </c>
      <c r="C44">
        <v>630</v>
      </c>
    </row>
  </sheetData>
  <mergeCells count="1">
    <mergeCell ref="A1:L1"/>
  </mergeCells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158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2</v>
      </c>
      <c r="F5">
        <v>0</v>
      </c>
      <c r="H5">
        <v>0</v>
      </c>
      <c r="J5">
        <f>SUM(D5:F5:H5)</f>
        <v>2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2</v>
      </c>
      <c r="F8">
        <f>E5-E6-E7</f>
        <v>0</v>
      </c>
      <c r="H8">
        <f>F5-F6-F7</f>
        <v>0</v>
      </c>
      <c r="J8">
        <f>SUM(D8:F8:E8)</f>
        <v>2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12831</v>
      </c>
      <c r="F12">
        <v>13563</v>
      </c>
      <c r="H12">
        <v>0</v>
      </c>
      <c r="J12">
        <f>SUM(D12:F12:H12)</f>
        <v>26394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47</v>
      </c>
      <c r="F14">
        <v>9</v>
      </c>
      <c r="H14">
        <v>0</v>
      </c>
      <c r="J14">
        <f>SUM(D14:F14:H14)</f>
        <v>56</v>
      </c>
    </row>
    <row r="15" spans="1:12">
      <c r="B15" t="s">
        <v>7</v>
      </c>
      <c r="D15">
        <f>SUM(D12:D13:D14)</f>
        <v>12878</v>
      </c>
      <c r="F15">
        <f>SUM(F12:F13:F14)</f>
        <v>13572</v>
      </c>
      <c r="H15">
        <f>SUM(H12:H13:H14)</f>
        <v>0</v>
      </c>
      <c r="J15">
        <f>SUM(D15:F15:H15)</f>
        <v>26450</v>
      </c>
    </row>
    <row r="17" spans="1:10">
      <c r="A17" t="s">
        <v>17</v>
      </c>
    </row>
    <row r="18" spans="1:10">
      <c r="B18" t="s">
        <v>14</v>
      </c>
      <c r="D18">
        <v>11956</v>
      </c>
      <c r="F18">
        <v>13047</v>
      </c>
      <c r="H18">
        <v>0</v>
      </c>
      <c r="J18">
        <f>SUM(D18:F18:H18)</f>
        <v>25003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189</v>
      </c>
    </row>
    <row r="22" spans="1:10">
      <c r="B22" t="s">
        <v>7</v>
      </c>
      <c r="J22">
        <f>SUM(J18:J19:J21)</f>
        <v>25192</v>
      </c>
    </row>
    <row r="23" spans="1:10">
      <c r="A23" t="s">
        <v>20</v>
      </c>
      <c r="J23">
        <f>J22/J15*100</f>
        <v>95.243856332703217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25190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35</v>
      </c>
    </row>
    <row r="32" spans="1:10">
      <c r="B32" t="s">
        <v>27</v>
      </c>
      <c r="C32">
        <v>754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159</v>
      </c>
      <c r="G42">
        <v>13394</v>
      </c>
    </row>
    <row r="43" spans="1:7">
      <c r="B43" t="s">
        <v>41</v>
      </c>
      <c r="C43" t="s">
        <v>39</v>
      </c>
      <c r="E43" t="s">
        <v>160</v>
      </c>
      <c r="G43">
        <v>11669</v>
      </c>
    </row>
    <row r="44" spans="1:7">
      <c r="B44" t="s">
        <v>44</v>
      </c>
      <c r="C44">
        <v>1725</v>
      </c>
    </row>
  </sheetData>
  <mergeCells count="1">
    <mergeCell ref="A1:L1"/>
  </mergeCells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2</v>
      </c>
      <c r="F5">
        <v>0</v>
      </c>
      <c r="H5">
        <v>0</v>
      </c>
      <c r="J5">
        <f>SUM(D5:F5:H5)</f>
        <v>2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2</v>
      </c>
      <c r="F8">
        <f>E5-E6-E7</f>
        <v>0</v>
      </c>
      <c r="H8">
        <f>F5-F6-F7</f>
        <v>0</v>
      </c>
      <c r="J8">
        <f>SUM(D8:F8:E8)</f>
        <v>2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13133</v>
      </c>
      <c r="F12">
        <v>13436</v>
      </c>
      <c r="H12">
        <v>0</v>
      </c>
      <c r="J12">
        <f>SUM(D12:F12:H12)</f>
        <v>26569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171</v>
      </c>
      <c r="F14">
        <v>35</v>
      </c>
      <c r="H14">
        <v>0</v>
      </c>
      <c r="J14">
        <f>SUM(D14:F14:H14)</f>
        <v>206</v>
      </c>
    </row>
    <row r="15" spans="1:12">
      <c r="B15" t="s">
        <v>7</v>
      </c>
      <c r="D15">
        <f>SUM(D12:D13:D14)</f>
        <v>13304</v>
      </c>
      <c r="F15">
        <f>SUM(F12:F13:F14)</f>
        <v>13471</v>
      </c>
      <c r="H15">
        <f>SUM(H12:H13:H14)</f>
        <v>0</v>
      </c>
      <c r="J15">
        <f>SUM(D15:F15:H15)</f>
        <v>26775</v>
      </c>
    </row>
    <row r="17" spans="1:10">
      <c r="A17" t="s">
        <v>17</v>
      </c>
    </row>
    <row r="18" spans="1:10">
      <c r="B18" t="s">
        <v>14</v>
      </c>
      <c r="D18">
        <v>11303</v>
      </c>
      <c r="F18">
        <v>12305</v>
      </c>
      <c r="H18">
        <v>0</v>
      </c>
      <c r="J18">
        <f>SUM(D18:F18:H18)</f>
        <v>23608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120</v>
      </c>
    </row>
    <row r="22" spans="1:10">
      <c r="B22" t="s">
        <v>7</v>
      </c>
      <c r="J22">
        <f>SUM(J18:J19:J21)</f>
        <v>23728</v>
      </c>
    </row>
    <row r="23" spans="1:10">
      <c r="A23" t="s">
        <v>20</v>
      </c>
      <c r="J23">
        <f>J22/J15*100</f>
        <v>88.619981325863677</v>
      </c>
    </row>
    <row r="25" spans="1:10">
      <c r="A25" t="s">
        <v>21</v>
      </c>
    </row>
    <row r="26" spans="1:10">
      <c r="B26" t="s">
        <v>22</v>
      </c>
      <c r="C26">
        <v>3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J22-3</f>
        <v>23725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33</v>
      </c>
    </row>
    <row r="32" spans="1:10">
      <c r="B32" t="s">
        <v>27</v>
      </c>
      <c r="C32">
        <v>805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162</v>
      </c>
      <c r="G42">
        <v>13331</v>
      </c>
    </row>
    <row r="43" spans="1:7">
      <c r="B43" t="s">
        <v>41</v>
      </c>
      <c r="C43" t="s">
        <v>42</v>
      </c>
      <c r="E43" t="s">
        <v>163</v>
      </c>
      <c r="G43">
        <v>10198</v>
      </c>
    </row>
    <row r="44" spans="1:7">
      <c r="B44" t="s">
        <v>44</v>
      </c>
      <c r="C44">
        <v>3133</v>
      </c>
    </row>
  </sheetData>
  <mergeCells count="1">
    <mergeCell ref="A1:L1"/>
  </mergeCells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0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14443</v>
      </c>
      <c r="F12">
        <v>13695</v>
      </c>
      <c r="H12">
        <v>0</v>
      </c>
      <c r="J12">
        <f>SUM(D12:F12:H12)</f>
        <v>28138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60</v>
      </c>
      <c r="F14">
        <v>34</v>
      </c>
      <c r="H14">
        <v>0</v>
      </c>
      <c r="J14">
        <f>SUM(D14:F14:H14)</f>
        <v>94</v>
      </c>
    </row>
    <row r="15" spans="1:12">
      <c r="B15" t="s">
        <v>7</v>
      </c>
      <c r="D15">
        <f>SUM(D12:D13:D14)</f>
        <v>14503</v>
      </c>
      <c r="F15">
        <f>SUM(F12:F13:F14)</f>
        <v>13729</v>
      </c>
      <c r="H15">
        <f>SUM(H12:H13:H14)</f>
        <v>0</v>
      </c>
      <c r="J15">
        <f>SUM(D15:F15:H15)</f>
        <v>28232</v>
      </c>
    </row>
    <row r="17" spans="1:10">
      <c r="A17" t="s">
        <v>17</v>
      </c>
    </row>
    <row r="18" spans="1:10">
      <c r="B18" t="s">
        <v>14</v>
      </c>
      <c r="D18">
        <v>11415</v>
      </c>
      <c r="F18">
        <v>11524</v>
      </c>
      <c r="H18">
        <v>0</v>
      </c>
      <c r="J18">
        <f>SUM(D18:F18:H18)</f>
        <v>22939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</v>
      </c>
    </row>
    <row r="22" spans="1:10">
      <c r="B22" t="s">
        <v>7</v>
      </c>
      <c r="J22">
        <f>SUM(J18:J19:J21)</f>
        <v>22940</v>
      </c>
    </row>
    <row r="23" spans="1:10">
      <c r="A23" t="s">
        <v>20</v>
      </c>
      <c r="J23">
        <f>J22/J15*100</f>
        <v>81.255313119863985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22940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40</v>
      </c>
    </row>
    <row r="32" spans="1:10">
      <c r="B32" t="s">
        <v>27</v>
      </c>
      <c r="C32">
        <v>703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60</v>
      </c>
      <c r="E42" t="s">
        <v>165</v>
      </c>
      <c r="G42">
        <v>8189</v>
      </c>
    </row>
    <row r="43" spans="1:7">
      <c r="B43" t="s">
        <v>41</v>
      </c>
      <c r="C43" t="s">
        <v>39</v>
      </c>
      <c r="E43" t="s">
        <v>166</v>
      </c>
      <c r="G43">
        <v>6539</v>
      </c>
    </row>
    <row r="44" spans="1:7">
      <c r="B44" t="s">
        <v>44</v>
      </c>
      <c r="C44">
        <v>1650</v>
      </c>
    </row>
  </sheetData>
  <mergeCells count="1">
    <mergeCell ref="A1:L1"/>
  </mergeCells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1</v>
      </c>
      <c r="H5">
        <v>0</v>
      </c>
      <c r="J5">
        <f>SUM(D5:F5:H5)</f>
        <v>7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1</v>
      </c>
      <c r="J8">
        <f>SUM(D8:F8:E8)</f>
        <v>6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22179</v>
      </c>
      <c r="F12">
        <v>24021</v>
      </c>
      <c r="H12">
        <v>0</v>
      </c>
      <c r="J12">
        <f>SUM(D12:F12:H12)</f>
        <v>46200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998</v>
      </c>
      <c r="F14">
        <v>347</v>
      </c>
      <c r="H14">
        <v>0</v>
      </c>
      <c r="J14">
        <f>SUM(D14:F14:H14)</f>
        <v>1345</v>
      </c>
    </row>
    <row r="15" spans="1:12">
      <c r="B15" t="s">
        <v>7</v>
      </c>
      <c r="D15">
        <f>SUM(D12:D13:D14)</f>
        <v>23177</v>
      </c>
      <c r="F15">
        <f>SUM(F12:F13:F14)</f>
        <v>24368</v>
      </c>
      <c r="H15">
        <f>SUM(H12:H13:H14)</f>
        <v>0</v>
      </c>
      <c r="J15">
        <f>SUM(D15:F15:H15)</f>
        <v>47545</v>
      </c>
    </row>
    <row r="17" spans="1:10">
      <c r="A17" t="s">
        <v>17</v>
      </c>
    </row>
    <row r="18" spans="1:10">
      <c r="B18" t="s">
        <v>14</v>
      </c>
      <c r="D18">
        <v>20156</v>
      </c>
      <c r="F18">
        <v>22144</v>
      </c>
      <c r="H18">
        <v>0</v>
      </c>
      <c r="J18">
        <f>SUM(D18:F18:H18)</f>
        <v>42300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38</v>
      </c>
    </row>
    <row r="22" spans="1:10">
      <c r="B22" t="s">
        <v>7</v>
      </c>
      <c r="J22">
        <f>SUM(J18:J19:J21)</f>
        <v>42338</v>
      </c>
    </row>
    <row r="23" spans="1:10">
      <c r="A23" t="s">
        <v>20</v>
      </c>
      <c r="J23">
        <f>J22/J15*100</f>
        <v>89.048270059943206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42336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74</v>
      </c>
    </row>
    <row r="32" spans="1:10">
      <c r="B32" t="s">
        <v>27</v>
      </c>
      <c r="C32">
        <v>624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72</v>
      </c>
      <c r="E42" t="s">
        <v>168</v>
      </c>
      <c r="G42">
        <v>14216</v>
      </c>
    </row>
    <row r="43" spans="1:7">
      <c r="B43" t="s">
        <v>41</v>
      </c>
      <c r="C43" t="s">
        <v>60</v>
      </c>
      <c r="E43" t="s">
        <v>169</v>
      </c>
      <c r="G43">
        <v>12091</v>
      </c>
    </row>
    <row r="44" spans="1:7">
      <c r="B44" t="s">
        <v>44</v>
      </c>
      <c r="C44">
        <v>2125</v>
      </c>
    </row>
  </sheetData>
  <mergeCells count="1">
    <mergeCell ref="A1:L1"/>
  </mergeCells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22686</v>
      </c>
      <c r="F12">
        <v>23364</v>
      </c>
      <c r="H12">
        <v>0</v>
      </c>
      <c r="J12">
        <f>SUM(D12:F12:H12)</f>
        <v>46050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148</v>
      </c>
      <c r="F14">
        <v>44</v>
      </c>
      <c r="H14">
        <v>0</v>
      </c>
      <c r="J14">
        <f>SUM(D14:F14:H14)</f>
        <v>192</v>
      </c>
    </row>
    <row r="15" spans="1:12">
      <c r="B15" t="s">
        <v>7</v>
      </c>
      <c r="D15">
        <f>SUM(D12:D13:D14)</f>
        <v>22834</v>
      </c>
      <c r="F15">
        <f>SUM(F12:F13:F14)</f>
        <v>23408</v>
      </c>
      <c r="H15">
        <f>SUM(H12:H13:H14)</f>
        <v>0</v>
      </c>
      <c r="J15">
        <f>SUM(D15:F15:H15)</f>
        <v>46242</v>
      </c>
    </row>
    <row r="17" spans="1:10">
      <c r="A17" t="s">
        <v>17</v>
      </c>
    </row>
    <row r="18" spans="1:10">
      <c r="B18" t="s">
        <v>14</v>
      </c>
      <c r="D18">
        <v>20305</v>
      </c>
      <c r="F18">
        <v>21332</v>
      </c>
      <c r="H18">
        <v>0</v>
      </c>
      <c r="J18">
        <f>SUM(D18:F18:H18)</f>
        <v>41637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60</v>
      </c>
    </row>
    <row r="22" spans="1:10">
      <c r="B22" t="s">
        <v>7</v>
      </c>
      <c r="J22">
        <f>SUM(J18:J19:J21)</f>
        <v>41697</v>
      </c>
    </row>
    <row r="23" spans="1:10">
      <c r="A23" t="s">
        <v>20</v>
      </c>
      <c r="J23">
        <f>J22/J15*100</f>
        <v>90.171272868820552</v>
      </c>
    </row>
    <row r="25" spans="1:10">
      <c r="A25" t="s">
        <v>21</v>
      </c>
    </row>
    <row r="26" spans="1:10">
      <c r="B26" t="s">
        <v>22</v>
      </c>
      <c r="C26">
        <v>8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J22-8</f>
        <v>41689</v>
      </c>
    </row>
    <row r="29" spans="1:10">
      <c r="B29" t="s">
        <v>25</v>
      </c>
      <c r="C29">
        <v>1</v>
      </c>
    </row>
    <row r="31" spans="1:10">
      <c r="A31" t="s">
        <v>26</v>
      </c>
      <c r="C31">
        <v>70</v>
      </c>
    </row>
    <row r="32" spans="1:10">
      <c r="B32" t="s">
        <v>27</v>
      </c>
      <c r="C32">
        <v>658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171</v>
      </c>
      <c r="G42">
        <v>16940</v>
      </c>
    </row>
    <row r="43" spans="1:7">
      <c r="B43" t="s">
        <v>41</v>
      </c>
      <c r="C43" t="s">
        <v>42</v>
      </c>
      <c r="E43" t="s">
        <v>172</v>
      </c>
      <c r="G43">
        <v>12284</v>
      </c>
    </row>
    <row r="44" spans="1:7">
      <c r="B44" t="s">
        <v>44</v>
      </c>
      <c r="C44">
        <v>4656</v>
      </c>
    </row>
  </sheetData>
  <mergeCells count="1">
    <mergeCell ref="A1:L1"/>
  </mergeCells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7</v>
      </c>
      <c r="F5">
        <v>0</v>
      </c>
      <c r="H5">
        <v>0</v>
      </c>
      <c r="J5">
        <f>SUM(D5:F5:H5)</f>
        <v>7</v>
      </c>
    </row>
    <row r="6" spans="1:12">
      <c r="A6" t="s">
        <v>9</v>
      </c>
      <c r="D6">
        <v>1</v>
      </c>
      <c r="F6">
        <v>0</v>
      </c>
      <c r="H6">
        <v>0</v>
      </c>
      <c r="J6">
        <f>SUM(D6:F6:H6)</f>
        <v>1</v>
      </c>
    </row>
    <row r="7" spans="1:12">
      <c r="A7" t="s">
        <v>10</v>
      </c>
      <c r="D7">
        <v>1</v>
      </c>
      <c r="F7">
        <v>0</v>
      </c>
      <c r="H7">
        <v>0</v>
      </c>
      <c r="J7">
        <f>SUM(D7:F7:H7)</f>
        <v>1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14934</v>
      </c>
      <c r="F12">
        <v>14968</v>
      </c>
      <c r="H12">
        <v>0</v>
      </c>
      <c r="J12">
        <f>SUM(D12:F12:H12)</f>
        <v>29902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186</v>
      </c>
      <c r="F14">
        <v>79</v>
      </c>
      <c r="H14">
        <v>0</v>
      </c>
      <c r="J14">
        <f>SUM(D14:F14:H14)</f>
        <v>265</v>
      </c>
    </row>
    <row r="15" spans="1:12">
      <c r="B15" t="s">
        <v>7</v>
      </c>
      <c r="D15">
        <f>SUM(D12:D13:D14)</f>
        <v>15120</v>
      </c>
      <c r="F15">
        <f>SUM(F12:F13:F14)</f>
        <v>15047</v>
      </c>
      <c r="H15">
        <f>SUM(H12:H13:H14)</f>
        <v>0</v>
      </c>
      <c r="J15">
        <f>SUM(D15:F15:H15)</f>
        <v>30167</v>
      </c>
    </row>
    <row r="17" spans="1:10">
      <c r="A17" t="s">
        <v>17</v>
      </c>
    </row>
    <row r="18" spans="1:10">
      <c r="B18" t="s">
        <v>14</v>
      </c>
      <c r="D18">
        <v>12472</v>
      </c>
      <c r="F18">
        <v>12341</v>
      </c>
      <c r="H18">
        <v>0</v>
      </c>
      <c r="J18">
        <f>SUM(D18:F18:H18)</f>
        <v>24813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145</v>
      </c>
    </row>
    <row r="22" spans="1:10">
      <c r="B22" t="s">
        <v>7</v>
      </c>
      <c r="J22">
        <f>SUM(J18:J19:J21)</f>
        <v>24958</v>
      </c>
    </row>
    <row r="23" spans="1:10">
      <c r="A23" t="s">
        <v>20</v>
      </c>
      <c r="J23">
        <f>J22/J15*100</f>
        <v>82.732787483011236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24956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70</v>
      </c>
    </row>
    <row r="32" spans="1:10">
      <c r="B32" t="s">
        <v>27</v>
      </c>
      <c r="C32">
        <v>427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174</v>
      </c>
      <c r="E42" t="s">
        <v>175</v>
      </c>
      <c r="G42">
        <v>11900</v>
      </c>
    </row>
    <row r="43" spans="1:7">
      <c r="B43" t="s">
        <v>41</v>
      </c>
      <c r="C43" t="s">
        <v>42</v>
      </c>
      <c r="E43" t="s">
        <v>176</v>
      </c>
      <c r="G43">
        <v>7122</v>
      </c>
    </row>
    <row r="44" spans="1:7">
      <c r="B44" t="s">
        <v>44</v>
      </c>
      <c r="C44">
        <v>4778</v>
      </c>
    </row>
  </sheetData>
  <mergeCells count="1">
    <mergeCell ref="A1:L1"/>
  </mergeCells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177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20249</v>
      </c>
      <c r="F12">
        <v>21031</v>
      </c>
      <c r="H12">
        <v>0</v>
      </c>
      <c r="J12">
        <f>SUM(D12:F12:H12)</f>
        <v>41280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293</v>
      </c>
      <c r="F14">
        <v>100</v>
      </c>
      <c r="H14">
        <v>0</v>
      </c>
      <c r="J14">
        <f>SUM(D14:F14:H14)</f>
        <v>393</v>
      </c>
    </row>
    <row r="15" spans="1:12">
      <c r="B15" t="s">
        <v>7</v>
      </c>
      <c r="D15">
        <f>SUM(D12:D13:D14)</f>
        <v>20542</v>
      </c>
      <c r="F15">
        <f>SUM(F12:F13:F14)</f>
        <v>21131</v>
      </c>
      <c r="H15">
        <f>SUM(H12:H13:H14)</f>
        <v>0</v>
      </c>
      <c r="J15">
        <f>SUM(D15:F15:H15)</f>
        <v>41673</v>
      </c>
    </row>
    <row r="17" spans="1:10">
      <c r="A17" t="s">
        <v>17</v>
      </c>
    </row>
    <row r="18" spans="1:10">
      <c r="B18" t="s">
        <v>14</v>
      </c>
      <c r="D18">
        <v>15675</v>
      </c>
      <c r="F18">
        <v>16178</v>
      </c>
      <c r="H18">
        <v>0</v>
      </c>
      <c r="J18">
        <f>SUM(D18:F18:H18)</f>
        <v>31853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226</v>
      </c>
    </row>
    <row r="22" spans="1:10">
      <c r="B22" t="s">
        <v>7</v>
      </c>
      <c r="J22">
        <f>SUM(J18:J19:J21)</f>
        <v>32079</v>
      </c>
    </row>
    <row r="23" spans="1:10">
      <c r="A23" t="s">
        <v>20</v>
      </c>
      <c r="J23">
        <f>J22/J15*100</f>
        <v>76.977899359297382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32078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67</v>
      </c>
    </row>
    <row r="32" spans="1:10">
      <c r="B32" t="s">
        <v>27</v>
      </c>
      <c r="C32">
        <v>616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178</v>
      </c>
      <c r="G42">
        <v>11510</v>
      </c>
    </row>
    <row r="43" spans="1:7">
      <c r="B43" t="s">
        <v>41</v>
      </c>
      <c r="C43" t="s">
        <v>42</v>
      </c>
      <c r="E43" t="s">
        <v>179</v>
      </c>
      <c r="G43">
        <v>11214</v>
      </c>
    </row>
    <row r="44" spans="1:7">
      <c r="B44" t="s">
        <v>44</v>
      </c>
      <c r="C44">
        <v>296</v>
      </c>
    </row>
  </sheetData>
  <mergeCells count="1">
    <mergeCell ref="A1:L1"/>
  </mergeCells>
  <pageMargins left="0.75" right="0.75" top="0.75" bottom="0.5" header="0.5" footer="0.75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180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20024</v>
      </c>
      <c r="F12">
        <v>20860</v>
      </c>
      <c r="H12">
        <v>0</v>
      </c>
      <c r="J12">
        <f>SUM(D12:F12:H12)</f>
        <v>40884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232</v>
      </c>
      <c r="F14">
        <v>84</v>
      </c>
      <c r="H14">
        <v>0</v>
      </c>
      <c r="J14">
        <f>SUM(D14:F14:H14)</f>
        <v>316</v>
      </c>
    </row>
    <row r="15" spans="1:12">
      <c r="B15" t="s">
        <v>7</v>
      </c>
      <c r="D15">
        <f>SUM(D12:D13:D14)</f>
        <v>20256</v>
      </c>
      <c r="F15">
        <f>SUM(F12:F13:F14)</f>
        <v>20944</v>
      </c>
      <c r="H15">
        <f>SUM(H12:H13:H14)</f>
        <v>0</v>
      </c>
      <c r="J15">
        <f>SUM(D15:F15:H15)</f>
        <v>41200</v>
      </c>
    </row>
    <row r="17" spans="1:10">
      <c r="A17" t="s">
        <v>17</v>
      </c>
    </row>
    <row r="18" spans="1:10">
      <c r="B18" t="s">
        <v>14</v>
      </c>
      <c r="D18">
        <v>15808</v>
      </c>
      <c r="F18">
        <v>15998</v>
      </c>
      <c r="H18">
        <v>0</v>
      </c>
      <c r="J18">
        <f>SUM(D18:F18:H18)</f>
        <v>31806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266</v>
      </c>
    </row>
    <row r="22" spans="1:10">
      <c r="B22" t="s">
        <v>7</v>
      </c>
      <c r="J22">
        <f>SUM(J18:J19:J21)</f>
        <v>32072</v>
      </c>
    </row>
    <row r="23" spans="1:10">
      <c r="A23" t="s">
        <v>20</v>
      </c>
      <c r="J23">
        <f>J22/J15*100</f>
        <v>77.84466019417475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32071</v>
      </c>
    </row>
    <row r="29" spans="1:10">
      <c r="B29" t="s">
        <v>25</v>
      </c>
      <c r="C29">
        <v>0</v>
      </c>
    </row>
    <row r="31" spans="1:10">
      <c r="A31" t="s">
        <v>26</v>
      </c>
      <c r="C31">
        <v>64</v>
      </c>
    </row>
    <row r="32" spans="1:10">
      <c r="B32" t="s">
        <v>27</v>
      </c>
      <c r="C32">
        <v>639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174</v>
      </c>
      <c r="E42" t="s">
        <v>181</v>
      </c>
      <c r="G42">
        <v>16582</v>
      </c>
    </row>
    <row r="43" spans="1:7">
      <c r="B43" t="s">
        <v>41</v>
      </c>
      <c r="C43" t="s">
        <v>42</v>
      </c>
      <c r="E43" t="s">
        <v>182</v>
      </c>
      <c r="G43">
        <v>8932</v>
      </c>
    </row>
    <row r="44" spans="1:7">
      <c r="B44" t="s">
        <v>44</v>
      </c>
      <c r="C44">
        <v>7650</v>
      </c>
    </row>
  </sheetData>
  <mergeCells count="1">
    <mergeCell ref="A1:L1"/>
  </mergeCells>
  <pageMargins left="0.75" right="0.75" top="0.75" bottom="0.5" header="0.5" footer="0.75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183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11</v>
      </c>
      <c r="F5">
        <v>0</v>
      </c>
      <c r="H5">
        <v>0</v>
      </c>
      <c r="J5">
        <f>SUM(D5:F5:H5)</f>
        <v>11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11</v>
      </c>
      <c r="F8">
        <f>E5-E6-E7</f>
        <v>0</v>
      </c>
      <c r="H8">
        <f>F5-F6-F7</f>
        <v>0</v>
      </c>
      <c r="J8">
        <f>SUM(D8:F8:E8)</f>
        <v>11</v>
      </c>
    </row>
    <row r="9" spans="1:12">
      <c r="A9" t="s">
        <v>12</v>
      </c>
      <c r="D9">
        <v>9</v>
      </c>
      <c r="F9">
        <v>0</v>
      </c>
      <c r="H9">
        <v>0</v>
      </c>
      <c r="J9">
        <f>SUM(D9:F9:E9)</f>
        <v>9</v>
      </c>
    </row>
    <row r="11" spans="1:12">
      <c r="A11" t="s">
        <v>13</v>
      </c>
    </row>
    <row r="12" spans="1:12">
      <c r="B12" t="s">
        <v>14</v>
      </c>
      <c r="D12">
        <v>17637</v>
      </c>
      <c r="F12">
        <v>18268</v>
      </c>
      <c r="H12">
        <v>0</v>
      </c>
      <c r="J12">
        <f>SUM(D12:F12:H12)</f>
        <v>35905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310</v>
      </c>
      <c r="F14">
        <v>86</v>
      </c>
      <c r="H14">
        <v>0</v>
      </c>
      <c r="J14">
        <f>SUM(D14:F14:H14)</f>
        <v>396</v>
      </c>
    </row>
    <row r="15" spans="1:12">
      <c r="B15" t="s">
        <v>7</v>
      </c>
      <c r="D15">
        <f>SUM(D12:D13:D14)</f>
        <v>17947</v>
      </c>
      <c r="F15">
        <f>SUM(F12:F13:F14)</f>
        <v>18354</v>
      </c>
      <c r="H15">
        <f>SUM(H12:H13:H14)</f>
        <v>0</v>
      </c>
      <c r="J15">
        <f>SUM(D15:F15:H15)</f>
        <v>36301</v>
      </c>
    </row>
    <row r="17" spans="1:10">
      <c r="A17" t="s">
        <v>17</v>
      </c>
    </row>
    <row r="18" spans="1:10">
      <c r="B18" t="s">
        <v>14</v>
      </c>
      <c r="D18">
        <v>14290</v>
      </c>
      <c r="F18">
        <v>14998</v>
      </c>
      <c r="H18">
        <v>0</v>
      </c>
      <c r="J18">
        <f>SUM(D18:F18:H18)</f>
        <v>29288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34</v>
      </c>
    </row>
    <row r="22" spans="1:10">
      <c r="B22" t="s">
        <v>7</v>
      </c>
      <c r="J22">
        <f>SUM(J18:J19:J21)</f>
        <v>29322</v>
      </c>
    </row>
    <row r="23" spans="1:10">
      <c r="A23" t="s">
        <v>20</v>
      </c>
      <c r="J23">
        <f>J22/J15*100</f>
        <v>80.774634307594823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29322</v>
      </c>
    </row>
    <row r="29" spans="1:10">
      <c r="B29" t="s">
        <v>25</v>
      </c>
      <c r="C29">
        <v>0</v>
      </c>
    </row>
    <row r="31" spans="1:10">
      <c r="A31" t="s">
        <v>26</v>
      </c>
      <c r="C31">
        <v>54</v>
      </c>
    </row>
    <row r="32" spans="1:10">
      <c r="B32" t="s">
        <v>27</v>
      </c>
      <c r="C32">
        <v>665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184</v>
      </c>
      <c r="G42">
        <v>8677</v>
      </c>
    </row>
    <row r="43" spans="1:7">
      <c r="B43" t="s">
        <v>41</v>
      </c>
      <c r="C43" t="s">
        <v>185</v>
      </c>
      <c r="E43" t="s">
        <v>186</v>
      </c>
      <c r="G43">
        <v>5416</v>
      </c>
    </row>
    <row r="44" spans="1:7">
      <c r="B44" t="s">
        <v>44</v>
      </c>
      <c r="C44">
        <v>3261</v>
      </c>
    </row>
  </sheetData>
  <mergeCells count="1">
    <mergeCell ref="A1:L1"/>
  </mergeCells>
  <pageMargins left="0.75" right="0.75" top="0.75" bottom="0.5" header="0.5" footer="0.75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187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1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1</v>
      </c>
      <c r="J8">
        <f>SUM(D8:F8:E8)</f>
        <v>5</v>
      </c>
    </row>
    <row r="9" spans="1:12">
      <c r="A9" t="s">
        <v>12</v>
      </c>
      <c r="D9">
        <v>3</v>
      </c>
      <c r="F9">
        <v>1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26798</v>
      </c>
      <c r="F12">
        <v>25408</v>
      </c>
      <c r="H12">
        <v>0</v>
      </c>
      <c r="J12">
        <f>SUM(D12:F12:H12)</f>
        <v>52206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70</v>
      </c>
      <c r="F14">
        <v>19</v>
      </c>
      <c r="H14">
        <v>0</v>
      </c>
      <c r="J14">
        <f>SUM(D14:F14:H14)</f>
        <v>89</v>
      </c>
    </row>
    <row r="15" spans="1:12">
      <c r="B15" t="s">
        <v>7</v>
      </c>
      <c r="D15">
        <f>SUM(D12:D13:D14)</f>
        <v>26868</v>
      </c>
      <c r="F15">
        <f>SUM(F12:F13:F14)</f>
        <v>25427</v>
      </c>
      <c r="H15">
        <f>SUM(H12:H13:H14)</f>
        <v>0</v>
      </c>
      <c r="J15">
        <f>SUM(D15:F15:H15)</f>
        <v>52295</v>
      </c>
    </row>
    <row r="17" spans="1:10">
      <c r="A17" t="s">
        <v>17</v>
      </c>
    </row>
    <row r="18" spans="1:10">
      <c r="B18" t="s">
        <v>14</v>
      </c>
      <c r="D18">
        <v>22431</v>
      </c>
      <c r="F18">
        <v>21604</v>
      </c>
      <c r="H18">
        <v>0</v>
      </c>
      <c r="J18">
        <f>SUM(D18:F18:H18)</f>
        <v>44035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61</v>
      </c>
    </row>
    <row r="22" spans="1:10">
      <c r="B22" t="s">
        <v>7</v>
      </c>
      <c r="J22">
        <f>SUM(J18:J19:J21)</f>
        <v>44096</v>
      </c>
    </row>
    <row r="23" spans="1:10">
      <c r="A23" t="s">
        <v>20</v>
      </c>
      <c r="J23">
        <f>J22/J15*100</f>
        <v>84.321636867769385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44096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71</v>
      </c>
    </row>
    <row r="32" spans="1:10">
      <c r="B32" t="s">
        <v>27</v>
      </c>
      <c r="C32">
        <v>735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188</v>
      </c>
      <c r="G42">
        <v>14038</v>
      </c>
    </row>
    <row r="43" spans="1:7">
      <c r="B43" t="s">
        <v>41</v>
      </c>
      <c r="C43" t="s">
        <v>42</v>
      </c>
      <c r="E43" t="s">
        <v>189</v>
      </c>
      <c r="G43">
        <v>9745</v>
      </c>
    </row>
    <row r="44" spans="1:7">
      <c r="B44" t="s">
        <v>44</v>
      </c>
      <c r="C44">
        <v>4293</v>
      </c>
    </row>
  </sheetData>
  <mergeCells count="1">
    <mergeCell ref="A1:L1"/>
  </mergeCells>
  <pageMargins left="0.75" right="0.75" top="0.75" bottom="0.5" header="0.5" footer="0.75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26810</v>
      </c>
      <c r="F12">
        <v>26746</v>
      </c>
      <c r="H12">
        <v>0</v>
      </c>
      <c r="J12">
        <f>SUM(D12:F12:H12)</f>
        <v>53556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215</v>
      </c>
      <c r="F14">
        <v>70</v>
      </c>
      <c r="H14">
        <v>0</v>
      </c>
      <c r="J14">
        <f>SUM(D14:F14:H14)</f>
        <v>285</v>
      </c>
    </row>
    <row r="15" spans="1:12">
      <c r="B15" t="s">
        <v>7</v>
      </c>
      <c r="D15">
        <f>SUM(D12:D13:D14)</f>
        <v>27025</v>
      </c>
      <c r="F15">
        <f>SUM(F12:F13:F14)</f>
        <v>26816</v>
      </c>
      <c r="H15">
        <f>SUM(H12:H13:H14)</f>
        <v>0</v>
      </c>
      <c r="J15">
        <f>SUM(D15:F15:H15)</f>
        <v>53841</v>
      </c>
    </row>
    <row r="17" spans="1:10">
      <c r="A17" t="s">
        <v>17</v>
      </c>
    </row>
    <row r="18" spans="1:10">
      <c r="B18" t="s">
        <v>14</v>
      </c>
      <c r="D18">
        <v>24489</v>
      </c>
      <c r="F18">
        <v>24720</v>
      </c>
      <c r="H18">
        <v>0</v>
      </c>
      <c r="J18">
        <f>SUM(D18:F18:H18)</f>
        <v>49209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7</v>
      </c>
    </row>
    <row r="22" spans="1:10">
      <c r="B22" t="s">
        <v>7</v>
      </c>
      <c r="J22">
        <f>SUM(J18:J19:J21)</f>
        <v>49216</v>
      </c>
    </row>
    <row r="23" spans="1:10">
      <c r="A23" t="s">
        <v>20</v>
      </c>
      <c r="J23">
        <f>J22/J15*100</f>
        <v>91.409892089671445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49216</v>
      </c>
    </row>
    <row r="29" spans="1:10">
      <c r="B29" t="s">
        <v>25</v>
      </c>
      <c r="C29">
        <v>0</v>
      </c>
    </row>
    <row r="31" spans="1:10">
      <c r="A31" t="s">
        <v>26</v>
      </c>
      <c r="C31">
        <v>69</v>
      </c>
    </row>
    <row r="32" spans="1:10">
      <c r="B32" t="s">
        <v>27</v>
      </c>
      <c r="C32">
        <v>776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174</v>
      </c>
      <c r="E42" t="s">
        <v>191</v>
      </c>
      <c r="G42">
        <v>25933</v>
      </c>
    </row>
    <row r="43" spans="1:7">
      <c r="B43" t="s">
        <v>41</v>
      </c>
      <c r="C43" t="s">
        <v>42</v>
      </c>
      <c r="E43" t="s">
        <v>192</v>
      </c>
      <c r="G43">
        <v>10519</v>
      </c>
    </row>
    <row r="44" spans="1:7">
      <c r="B44" t="s">
        <v>44</v>
      </c>
      <c r="C44">
        <v>15414</v>
      </c>
    </row>
  </sheetData>
  <mergeCells count="1">
    <mergeCell ref="A1:L1"/>
  </mergeCells>
  <pageMargins left="0.75" right="0.75" top="0.75" bottom="0.5" header="0.5" footer="0.75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0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23516</v>
      </c>
      <c r="F12">
        <v>22792</v>
      </c>
      <c r="H12">
        <v>0</v>
      </c>
      <c r="J12">
        <f>SUM(D12:F12:H12)</f>
        <v>46308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190</v>
      </c>
      <c r="F14">
        <v>86</v>
      </c>
      <c r="H14">
        <v>0</v>
      </c>
      <c r="J14">
        <f>SUM(D14:F14:H14)</f>
        <v>276</v>
      </c>
    </row>
    <row r="15" spans="1:12">
      <c r="B15" t="s">
        <v>7</v>
      </c>
      <c r="D15">
        <f>SUM(D12:D13:D14)</f>
        <v>23706</v>
      </c>
      <c r="F15">
        <f>SUM(F12:F13:F14)</f>
        <v>22878</v>
      </c>
      <c r="H15">
        <f>SUM(H12:H13:H14)</f>
        <v>0</v>
      </c>
      <c r="J15">
        <f>SUM(D15:F15:H15)</f>
        <v>46584</v>
      </c>
    </row>
    <row r="17" spans="1:10">
      <c r="A17" t="s">
        <v>17</v>
      </c>
    </row>
    <row r="18" spans="1:10">
      <c r="B18" t="s">
        <v>14</v>
      </c>
      <c r="D18">
        <v>20343</v>
      </c>
      <c r="F18">
        <v>20389</v>
      </c>
      <c r="H18">
        <v>0</v>
      </c>
      <c r="J18">
        <f>SUM(D18:F18:H18)</f>
        <v>40732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26</v>
      </c>
    </row>
    <row r="22" spans="1:10">
      <c r="B22" t="s">
        <v>7</v>
      </c>
      <c r="J22">
        <f>SUM(J18:J19:J21)</f>
        <v>40758</v>
      </c>
    </row>
    <row r="23" spans="1:10">
      <c r="A23" t="s">
        <v>20</v>
      </c>
      <c r="J23">
        <f>J22/J15*100</f>
        <v>87.49356002060793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40757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70</v>
      </c>
    </row>
    <row r="32" spans="1:10">
      <c r="B32" t="s">
        <v>27</v>
      </c>
      <c r="C32">
        <v>662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72</v>
      </c>
      <c r="E42" t="s">
        <v>194</v>
      </c>
      <c r="G42">
        <v>17115</v>
      </c>
    </row>
    <row r="43" spans="1:7">
      <c r="B43" t="s">
        <v>41</v>
      </c>
      <c r="C43" t="s">
        <v>42</v>
      </c>
      <c r="E43" t="s">
        <v>195</v>
      </c>
      <c r="G43">
        <v>15816</v>
      </c>
    </row>
    <row r="44" spans="1:7">
      <c r="B44" t="s">
        <v>44</v>
      </c>
      <c r="C44">
        <v>1299</v>
      </c>
    </row>
  </sheetData>
  <mergeCells count="1">
    <mergeCell ref="A1:L1"/>
  </mergeCells>
  <pageMargins left="0.75" right="0.75" top="0.75" bottom="0.5" header="0.5" footer="0.75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196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1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1</v>
      </c>
      <c r="J8">
        <f>SUM(D8:F8:E8)</f>
        <v>3</v>
      </c>
    </row>
    <row r="9" spans="1:12">
      <c r="A9" t="s">
        <v>12</v>
      </c>
      <c r="D9">
        <v>2</v>
      </c>
      <c r="F9">
        <v>0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14936</v>
      </c>
      <c r="F12">
        <v>14854</v>
      </c>
      <c r="H12">
        <v>0</v>
      </c>
      <c r="J12">
        <f>SUM(D12:F12:H12)</f>
        <v>29790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221</v>
      </c>
      <c r="F14">
        <v>77</v>
      </c>
      <c r="H14">
        <v>0</v>
      </c>
      <c r="J14">
        <f>SUM(D14:F14:H14)</f>
        <v>298</v>
      </c>
    </row>
    <row r="15" spans="1:12">
      <c r="B15" t="s">
        <v>7</v>
      </c>
      <c r="D15">
        <f>SUM(D12:D13:D14)</f>
        <v>15157</v>
      </c>
      <c r="F15">
        <f>SUM(F12:F13:F14)</f>
        <v>14931</v>
      </c>
      <c r="H15">
        <f>SUM(H12:H13:H14)</f>
        <v>0</v>
      </c>
      <c r="J15">
        <f>SUM(D15:F15:H15)</f>
        <v>30088</v>
      </c>
    </row>
    <row r="17" spans="1:10">
      <c r="A17" t="s">
        <v>17</v>
      </c>
    </row>
    <row r="18" spans="1:10">
      <c r="B18" t="s">
        <v>14</v>
      </c>
      <c r="D18">
        <v>12925</v>
      </c>
      <c r="F18">
        <v>13102</v>
      </c>
      <c r="H18">
        <v>0</v>
      </c>
      <c r="J18">
        <f>SUM(D18:F18:H18)</f>
        <v>26027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39</v>
      </c>
    </row>
    <row r="22" spans="1:10">
      <c r="B22" t="s">
        <v>7</v>
      </c>
      <c r="J22">
        <f>SUM(J18:J19:J21)</f>
        <v>26066</v>
      </c>
    </row>
    <row r="23" spans="1:10">
      <c r="A23" t="s">
        <v>20</v>
      </c>
      <c r="J23">
        <f>J22/J15*100</f>
        <v>86.632544536027652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26065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39</v>
      </c>
    </row>
    <row r="32" spans="1:10">
      <c r="B32" t="s">
        <v>27</v>
      </c>
      <c r="C32">
        <v>764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197</v>
      </c>
      <c r="G42">
        <v>13485</v>
      </c>
    </row>
    <row r="43" spans="1:7">
      <c r="B43" t="s">
        <v>41</v>
      </c>
      <c r="C43" t="s">
        <v>60</v>
      </c>
      <c r="E43" t="s">
        <v>198</v>
      </c>
      <c r="G43">
        <v>11188</v>
      </c>
    </row>
    <row r="44" spans="1:7">
      <c r="B44" t="s">
        <v>44</v>
      </c>
      <c r="C44">
        <v>2297</v>
      </c>
    </row>
  </sheetData>
  <mergeCells count="1">
    <mergeCell ref="A1:L1"/>
  </mergeCells>
  <pageMargins left="0.75" right="0.75" top="0.75" bottom="0.5" header="0.5" footer="0.75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199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20638</v>
      </c>
      <c r="F12">
        <v>21177</v>
      </c>
      <c r="H12">
        <v>0</v>
      </c>
      <c r="J12">
        <f>SUM(D12:F12:H12)</f>
        <v>41815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253</v>
      </c>
      <c r="F14">
        <v>73</v>
      </c>
      <c r="H14">
        <v>0</v>
      </c>
      <c r="J14">
        <f>SUM(D14:F14:H14)</f>
        <v>326</v>
      </c>
    </row>
    <row r="15" spans="1:12">
      <c r="B15" t="s">
        <v>7</v>
      </c>
      <c r="D15">
        <f>SUM(D12:D13:D14)</f>
        <v>20891</v>
      </c>
      <c r="F15">
        <f>SUM(F12:F13:F14)</f>
        <v>21250</v>
      </c>
      <c r="H15">
        <f>SUM(H12:H13:H14)</f>
        <v>0</v>
      </c>
      <c r="J15">
        <f>SUM(D15:F15:H15)</f>
        <v>42141</v>
      </c>
    </row>
    <row r="17" spans="1:10">
      <c r="A17" t="s">
        <v>17</v>
      </c>
    </row>
    <row r="18" spans="1:10">
      <c r="B18" t="s">
        <v>14</v>
      </c>
      <c r="D18">
        <v>17808</v>
      </c>
      <c r="F18">
        <v>18564</v>
      </c>
      <c r="H18">
        <v>0</v>
      </c>
      <c r="J18">
        <f>SUM(D18:F18:H18)</f>
        <v>36372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22</v>
      </c>
    </row>
    <row r="22" spans="1:10">
      <c r="B22" t="s">
        <v>7</v>
      </c>
      <c r="J22">
        <f>SUM(J18:J19:J21)</f>
        <v>36394</v>
      </c>
    </row>
    <row r="23" spans="1:10">
      <c r="A23" t="s">
        <v>20</v>
      </c>
      <c r="J23">
        <f>J22/J15*100</f>
        <v>86.362449870672265</v>
      </c>
    </row>
    <row r="25" spans="1:10">
      <c r="A25" t="s">
        <v>21</v>
      </c>
    </row>
    <row r="26" spans="1:10">
      <c r="B26" t="s">
        <v>22</v>
      </c>
      <c r="C26">
        <v>1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</f>
        <v>36393</v>
      </c>
    </row>
    <row r="29" spans="1:10">
      <c r="B29" t="s">
        <v>25</v>
      </c>
      <c r="C29">
        <v>0</v>
      </c>
    </row>
    <row r="31" spans="1:10">
      <c r="A31" t="s">
        <v>26</v>
      </c>
      <c r="C31">
        <v>63</v>
      </c>
    </row>
    <row r="32" spans="1:10">
      <c r="B32" t="s">
        <v>27</v>
      </c>
      <c r="C32">
        <v>664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200</v>
      </c>
      <c r="G42">
        <v>19467</v>
      </c>
    </row>
    <row r="43" spans="1:7">
      <c r="B43" t="s">
        <v>41</v>
      </c>
      <c r="C43" t="s">
        <v>42</v>
      </c>
      <c r="E43" t="s">
        <v>201</v>
      </c>
      <c r="G43">
        <v>15650</v>
      </c>
    </row>
    <row r="44" spans="1:7">
      <c r="B44" t="s">
        <v>44</v>
      </c>
      <c r="C44">
        <v>3817</v>
      </c>
    </row>
  </sheetData>
  <mergeCells count="1">
    <mergeCell ref="A1:L1"/>
  </mergeCells>
  <pageMargins left="0.75" right="0.75" top="0.75" bottom="0.5" header="0.5" footer="0.75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202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17878</v>
      </c>
      <c r="F12">
        <v>18483</v>
      </c>
      <c r="H12">
        <v>0</v>
      </c>
      <c r="J12">
        <f>SUM(D12:F12:H12)</f>
        <v>36361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47</v>
      </c>
      <c r="F14">
        <v>19</v>
      </c>
      <c r="H14">
        <v>0</v>
      </c>
      <c r="J14">
        <f>SUM(D14:F14:H14)</f>
        <v>66</v>
      </c>
    </row>
    <row r="15" spans="1:12">
      <c r="B15" t="s">
        <v>7</v>
      </c>
      <c r="D15">
        <f>SUM(D12:D13:D14)</f>
        <v>17925</v>
      </c>
      <c r="F15">
        <f>SUM(F12:F13:F14)</f>
        <v>18502</v>
      </c>
      <c r="H15">
        <f>SUM(H12:H13:H14)</f>
        <v>0</v>
      </c>
      <c r="J15">
        <f>SUM(D15:F15:H15)</f>
        <v>36427</v>
      </c>
    </row>
    <row r="17" spans="1:10">
      <c r="A17" t="s">
        <v>17</v>
      </c>
    </row>
    <row r="18" spans="1:10">
      <c r="B18" t="s">
        <v>14</v>
      </c>
      <c r="D18">
        <v>15883</v>
      </c>
      <c r="F18">
        <v>16290</v>
      </c>
      <c r="H18">
        <v>0</v>
      </c>
      <c r="J18">
        <f>SUM(D18:F18:H18)</f>
        <v>32173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142</v>
      </c>
    </row>
    <row r="22" spans="1:10">
      <c r="B22" t="s">
        <v>7</v>
      </c>
      <c r="J22">
        <f>SUM(J18:J19:J21)</f>
        <v>32315</v>
      </c>
    </row>
    <row r="23" spans="1:10">
      <c r="A23" t="s">
        <v>20</v>
      </c>
      <c r="J23">
        <f>J22/J15*100</f>
        <v>88.711669915172806</v>
      </c>
    </row>
    <row r="25" spans="1:10">
      <c r="A25" t="s">
        <v>21</v>
      </c>
    </row>
    <row r="26" spans="1:10">
      <c r="B26" t="s">
        <v>22</v>
      </c>
      <c r="C26">
        <v>20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J22-20</f>
        <v>32295</v>
      </c>
    </row>
    <row r="29" spans="1:10">
      <c r="B29" t="s">
        <v>25</v>
      </c>
      <c r="C29">
        <v>0</v>
      </c>
    </row>
    <row r="31" spans="1:10">
      <c r="A31" t="s">
        <v>26</v>
      </c>
      <c r="C31">
        <v>82</v>
      </c>
    </row>
    <row r="32" spans="1:10">
      <c r="B32" t="s">
        <v>27</v>
      </c>
      <c r="C32">
        <v>443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174</v>
      </c>
      <c r="E42" t="s">
        <v>203</v>
      </c>
      <c r="G42">
        <v>15933</v>
      </c>
    </row>
    <row r="43" spans="1:7">
      <c r="B43" t="s">
        <v>41</v>
      </c>
      <c r="C43" t="s">
        <v>42</v>
      </c>
      <c r="E43" t="s">
        <v>204</v>
      </c>
      <c r="G43">
        <v>15186</v>
      </c>
    </row>
    <row r="44" spans="1:7">
      <c r="B44" t="s">
        <v>44</v>
      </c>
      <c r="C44">
        <v>747</v>
      </c>
    </row>
  </sheetData>
  <mergeCells count="1">
    <mergeCell ref="A1:L1"/>
  </mergeCells>
  <pageMargins left="0.75" right="0.75" top="0.75" bottom="0.5" header="0.5" footer="0.75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205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15578</v>
      </c>
      <c r="F12">
        <v>16289</v>
      </c>
      <c r="H12">
        <v>0</v>
      </c>
      <c r="J12">
        <f>SUM(D12:F12:H12)</f>
        <v>31867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72</v>
      </c>
      <c r="F14">
        <v>31</v>
      </c>
      <c r="H14">
        <v>0</v>
      </c>
      <c r="J14">
        <f>SUM(D14:F14:H14)</f>
        <v>103</v>
      </c>
    </row>
    <row r="15" spans="1:12">
      <c r="B15" t="s">
        <v>7</v>
      </c>
      <c r="D15">
        <f>SUM(D12:D13:D14)</f>
        <v>15650</v>
      </c>
      <c r="F15">
        <f>SUM(F12:F13:F14)</f>
        <v>16320</v>
      </c>
      <c r="H15">
        <f>SUM(H12:H13:H14)</f>
        <v>0</v>
      </c>
      <c r="J15">
        <f>SUM(D15:F15:H15)</f>
        <v>31970</v>
      </c>
    </row>
    <row r="17" spans="1:10">
      <c r="A17" t="s">
        <v>17</v>
      </c>
    </row>
    <row r="18" spans="1:10">
      <c r="B18" t="s">
        <v>14</v>
      </c>
      <c r="D18">
        <v>11191</v>
      </c>
      <c r="F18">
        <v>12619</v>
      </c>
      <c r="H18">
        <v>0</v>
      </c>
      <c r="J18">
        <f>SUM(D18:F18:H18)</f>
        <v>23810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636</v>
      </c>
    </row>
    <row r="22" spans="1:10">
      <c r="B22" t="s">
        <v>7</v>
      </c>
      <c r="J22">
        <f>SUM(J18:J19:J21)</f>
        <v>24446</v>
      </c>
    </row>
    <row r="23" spans="1:10">
      <c r="A23" t="s">
        <v>20</v>
      </c>
      <c r="J23">
        <f>J22/J15*100</f>
        <v>76.465436346574904</v>
      </c>
    </row>
    <row r="25" spans="1:10">
      <c r="A25" t="s">
        <v>21</v>
      </c>
    </row>
    <row r="26" spans="1:10">
      <c r="B26" t="s">
        <v>22</v>
      </c>
      <c r="C26">
        <v>75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J22-75</f>
        <v>24371</v>
      </c>
    </row>
    <row r="29" spans="1:10">
      <c r="B29" t="s">
        <v>25</v>
      </c>
      <c r="C29">
        <v>0</v>
      </c>
    </row>
    <row r="31" spans="1:10">
      <c r="A31" t="s">
        <v>26</v>
      </c>
      <c r="C31">
        <v>57</v>
      </c>
    </row>
    <row r="32" spans="1:10">
      <c r="B32" t="s">
        <v>27</v>
      </c>
      <c r="C32">
        <v>559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206</v>
      </c>
      <c r="G42">
        <v>13023</v>
      </c>
    </row>
    <row r="43" spans="1:7">
      <c r="B43" t="s">
        <v>41</v>
      </c>
      <c r="C43" t="s">
        <v>174</v>
      </c>
      <c r="E43" t="s">
        <v>207</v>
      </c>
      <c r="G43">
        <v>11019</v>
      </c>
    </row>
    <row r="44" spans="1:7">
      <c r="B44" t="s">
        <v>44</v>
      </c>
      <c r="C44">
        <v>2004</v>
      </c>
    </row>
  </sheetData>
  <mergeCells count="1">
    <mergeCell ref="A1:L1"/>
  </mergeCells>
  <pageMargins left="0.75" right="0.75" top="0.75" bottom="0.5" header="0.5" footer="0.75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208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0</v>
      </c>
      <c r="H5">
        <v>0</v>
      </c>
      <c r="J5">
        <f>SUM(D5:F5:H5)</f>
        <v>4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0</v>
      </c>
      <c r="J8">
        <f>SUM(D8:F8:E8)</f>
        <v>4</v>
      </c>
    </row>
    <row r="9" spans="1:12">
      <c r="A9" t="s">
        <v>12</v>
      </c>
      <c r="D9">
        <v>1</v>
      </c>
      <c r="F9">
        <v>0</v>
      </c>
      <c r="H9">
        <v>0</v>
      </c>
      <c r="J9">
        <f>SUM(D9:F9:E9)</f>
        <v>1</v>
      </c>
    </row>
    <row r="11" spans="1:12">
      <c r="A11" t="s">
        <v>13</v>
      </c>
    </row>
    <row r="12" spans="1:12">
      <c r="B12" t="s">
        <v>14</v>
      </c>
      <c r="D12">
        <v>12352</v>
      </c>
      <c r="F12">
        <v>12895</v>
      </c>
      <c r="H12">
        <v>0</v>
      </c>
      <c r="J12">
        <f>SUM(D12:F12:H12)</f>
        <v>25247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123</v>
      </c>
      <c r="F14">
        <v>22</v>
      </c>
      <c r="H14">
        <v>0</v>
      </c>
      <c r="J14">
        <f>SUM(D14:F14:H14)</f>
        <v>145</v>
      </c>
    </row>
    <row r="15" spans="1:12">
      <c r="B15" t="s">
        <v>7</v>
      </c>
      <c r="D15">
        <f>SUM(D12:D13:D14)</f>
        <v>12475</v>
      </c>
      <c r="F15">
        <f>SUM(F12:F13:F14)</f>
        <v>12917</v>
      </c>
      <c r="H15">
        <f>SUM(H12:H13:H14)</f>
        <v>0</v>
      </c>
      <c r="J15">
        <f>SUM(D15:F15:H15)</f>
        <v>25392</v>
      </c>
    </row>
    <row r="17" spans="1:10">
      <c r="A17" t="s">
        <v>17</v>
      </c>
    </row>
    <row r="18" spans="1:10">
      <c r="B18" t="s">
        <v>14</v>
      </c>
      <c r="D18">
        <v>9464</v>
      </c>
      <c r="F18">
        <v>9927</v>
      </c>
      <c r="H18">
        <v>0</v>
      </c>
      <c r="J18">
        <f>SUM(D18:F18:H18)</f>
        <v>19391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322</v>
      </c>
    </row>
    <row r="22" spans="1:10">
      <c r="B22" t="s">
        <v>7</v>
      </c>
      <c r="J22">
        <f>SUM(J18:J19:J21)</f>
        <v>19713</v>
      </c>
    </row>
    <row r="23" spans="1:10">
      <c r="A23" t="s">
        <v>20</v>
      </c>
      <c r="J23">
        <f>J22/J15*100</f>
        <v>77.634688090737242</v>
      </c>
    </row>
    <row r="25" spans="1:10">
      <c r="A25" t="s">
        <v>21</v>
      </c>
    </row>
    <row r="26" spans="1:10">
      <c r="B26" t="s">
        <v>22</v>
      </c>
      <c r="C26">
        <v>54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J22-54</f>
        <v>19659</v>
      </c>
    </row>
    <row r="29" spans="1:10">
      <c r="B29" t="s">
        <v>25</v>
      </c>
      <c r="C29">
        <v>0</v>
      </c>
    </row>
    <row r="31" spans="1:10">
      <c r="A31" t="s">
        <v>26</v>
      </c>
      <c r="C31">
        <v>42</v>
      </c>
    </row>
    <row r="32" spans="1:10">
      <c r="B32" t="s">
        <v>27</v>
      </c>
      <c r="C32">
        <v>601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42802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209</v>
      </c>
      <c r="G42">
        <v>10255</v>
      </c>
    </row>
    <row r="43" spans="1:7">
      <c r="B43" t="s">
        <v>41</v>
      </c>
      <c r="C43" t="s">
        <v>42</v>
      </c>
      <c r="E43" t="s">
        <v>210</v>
      </c>
      <c r="G43">
        <v>5108</v>
      </c>
    </row>
    <row r="44" spans="1:7">
      <c r="B44" t="s">
        <v>44</v>
      </c>
      <c r="C44">
        <v>5147</v>
      </c>
    </row>
  </sheetData>
  <mergeCells count="1">
    <mergeCell ref="A1:L1"/>
  </mergeCells>
  <pageMargins left="0.75" right="0.75" top="0.75" bottom="0.5" header="0.5" footer="0.75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211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4</v>
      </c>
      <c r="F5">
        <v>1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4</v>
      </c>
      <c r="F8">
        <f>E5-E6-E7</f>
        <v>0</v>
      </c>
      <c r="H8">
        <f>F5-F6-F7</f>
        <v>1</v>
      </c>
      <c r="J8">
        <f>SUM(D8:F8:E8)</f>
        <v>4</v>
      </c>
    </row>
    <row r="9" spans="1:12">
      <c r="A9" t="s">
        <v>12</v>
      </c>
      <c r="D9">
        <v>1</v>
      </c>
      <c r="F9">
        <v>1</v>
      </c>
      <c r="H9">
        <v>0</v>
      </c>
      <c r="J9">
        <f>SUM(D9:F9:E9)</f>
        <v>2</v>
      </c>
    </row>
    <row r="11" spans="1:12">
      <c r="A11" t="s">
        <v>13</v>
      </c>
    </row>
    <row r="12" spans="1:12">
      <c r="B12" t="s">
        <v>14</v>
      </c>
      <c r="D12">
        <v>8967</v>
      </c>
      <c r="F12">
        <v>8791</v>
      </c>
      <c r="H12">
        <v>0</v>
      </c>
      <c r="J12">
        <f>SUM(D12:F12:H12)</f>
        <v>17758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74</v>
      </c>
      <c r="F14">
        <v>30</v>
      </c>
      <c r="H14">
        <v>0</v>
      </c>
      <c r="J14">
        <f>SUM(D14:F14:H14)</f>
        <v>104</v>
      </c>
    </row>
    <row r="15" spans="1:12">
      <c r="B15" t="s">
        <v>7</v>
      </c>
      <c r="D15">
        <f>SUM(D12:D13:D14)</f>
        <v>9041</v>
      </c>
      <c r="F15">
        <f>SUM(F12:F13:F14)</f>
        <v>8821</v>
      </c>
      <c r="H15">
        <f>SUM(H12:H13:H14)</f>
        <v>0</v>
      </c>
      <c r="J15">
        <f>SUM(D15:F15:H15)</f>
        <v>17862</v>
      </c>
    </row>
    <row r="17" spans="1:10">
      <c r="A17" t="s">
        <v>17</v>
      </c>
    </row>
    <row r="18" spans="1:10">
      <c r="B18" t="s">
        <v>14</v>
      </c>
      <c r="D18">
        <v>6108</v>
      </c>
      <c r="F18">
        <v>5660</v>
      </c>
      <c r="H18">
        <v>0</v>
      </c>
      <c r="J18">
        <f>SUM(D18:F18:H18)</f>
        <v>11768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36</v>
      </c>
    </row>
    <row r="22" spans="1:10">
      <c r="B22" t="s">
        <v>7</v>
      </c>
      <c r="J22">
        <f>SUM(J18:J19:J21)</f>
        <v>11804</v>
      </c>
    </row>
    <row r="23" spans="1:10">
      <c r="A23" t="s">
        <v>20</v>
      </c>
      <c r="J23">
        <f>J22/J15*100</f>
        <v>66.084425036390101</v>
      </c>
    </row>
    <row r="25" spans="1:10">
      <c r="A25" t="s">
        <v>21</v>
      </c>
    </row>
    <row r="26" spans="1:10">
      <c r="B26" t="s">
        <v>22</v>
      </c>
      <c r="C26">
        <v>6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J22-6</f>
        <v>11798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467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212</v>
      </c>
      <c r="G42">
        <v>4997</v>
      </c>
    </row>
    <row r="43" spans="1:7">
      <c r="B43" t="s">
        <v>41</v>
      </c>
      <c r="C43" t="s">
        <v>42</v>
      </c>
      <c r="E43" t="s">
        <v>213</v>
      </c>
      <c r="G43">
        <v>4371</v>
      </c>
    </row>
    <row r="44" spans="1:7">
      <c r="B44" t="s">
        <v>44</v>
      </c>
      <c r="C44">
        <v>626</v>
      </c>
    </row>
  </sheetData>
  <mergeCells count="1">
    <mergeCell ref="A1:L1"/>
  </mergeCells>
  <pageMargins left="0.75" right="0.75" top="0.75" bottom="0.5" header="0.5" footer="0.75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214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5</v>
      </c>
      <c r="F5">
        <v>0</v>
      </c>
      <c r="H5">
        <v>0</v>
      </c>
      <c r="J5">
        <f>SUM(D5:F5:H5)</f>
        <v>5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5</v>
      </c>
      <c r="F8">
        <f>E5-E6-E7</f>
        <v>0</v>
      </c>
      <c r="H8">
        <f>F5-F6-F7</f>
        <v>0</v>
      </c>
      <c r="J8">
        <f>SUM(D8:F8:E8)</f>
        <v>5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9003</v>
      </c>
      <c r="F12">
        <v>8881</v>
      </c>
      <c r="H12">
        <v>0</v>
      </c>
      <c r="J12">
        <f>SUM(D12:F12:H12)</f>
        <v>17884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136</v>
      </c>
      <c r="F14">
        <v>56</v>
      </c>
      <c r="H14">
        <v>0</v>
      </c>
      <c r="J14">
        <f>SUM(D14:F14:H14)</f>
        <v>192</v>
      </c>
    </row>
    <row r="15" spans="1:12">
      <c r="B15" t="s">
        <v>7</v>
      </c>
      <c r="D15">
        <f>SUM(D12:D13:D14)</f>
        <v>9139</v>
      </c>
      <c r="F15">
        <f>SUM(F12:F13:F14)</f>
        <v>8937</v>
      </c>
      <c r="H15">
        <f>SUM(H12:H13:H14)</f>
        <v>0</v>
      </c>
      <c r="J15">
        <f>SUM(D15:F15:H15)</f>
        <v>18076</v>
      </c>
    </row>
    <row r="17" spans="1:10">
      <c r="A17" t="s">
        <v>17</v>
      </c>
    </row>
    <row r="18" spans="1:10">
      <c r="B18" t="s">
        <v>14</v>
      </c>
      <c r="D18">
        <v>7348</v>
      </c>
      <c r="F18">
        <v>6314</v>
      </c>
      <c r="H18">
        <v>0</v>
      </c>
      <c r="J18">
        <f>SUM(D18:F18:H18)</f>
        <v>13662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51</v>
      </c>
    </row>
    <row r="22" spans="1:10">
      <c r="B22" t="s">
        <v>7</v>
      </c>
      <c r="J22">
        <f>SUM(J18:J19:J21)</f>
        <v>13713</v>
      </c>
    </row>
    <row r="23" spans="1:10">
      <c r="A23" t="s">
        <v>20</v>
      </c>
      <c r="J23">
        <f>J22/J15*100</f>
        <v>75.86302279265324</v>
      </c>
    </row>
    <row r="25" spans="1:10">
      <c r="A25" t="s">
        <v>21</v>
      </c>
    </row>
    <row r="26" spans="1:10">
      <c r="B26" t="s">
        <v>22</v>
      </c>
      <c r="C26">
        <v>26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J22-26</f>
        <v>13687</v>
      </c>
    </row>
    <row r="29" spans="1:10">
      <c r="B29" t="s">
        <v>25</v>
      </c>
      <c r="C29">
        <v>0</v>
      </c>
    </row>
    <row r="31" spans="1:10">
      <c r="A31" t="s">
        <v>26</v>
      </c>
      <c r="C31">
        <v>38</v>
      </c>
    </row>
    <row r="32" spans="1:10">
      <c r="B32" t="s">
        <v>27</v>
      </c>
      <c r="C32">
        <v>471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215</v>
      </c>
      <c r="G42">
        <v>9752</v>
      </c>
    </row>
    <row r="43" spans="1:7">
      <c r="B43" t="s">
        <v>41</v>
      </c>
      <c r="C43" t="s">
        <v>39</v>
      </c>
      <c r="E43" t="s">
        <v>216</v>
      </c>
      <c r="G43">
        <v>2583</v>
      </c>
    </row>
    <row r="44" spans="1:7">
      <c r="B44" t="s">
        <v>44</v>
      </c>
      <c r="C44">
        <v>7169</v>
      </c>
    </row>
  </sheetData>
  <mergeCells count="1">
    <mergeCell ref="A1:L1"/>
  </mergeCells>
  <pageMargins left="0.75" right="0.75" top="0.75" bottom="0.5" header="0.5" footer="0.75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217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6</v>
      </c>
      <c r="F5">
        <v>0</v>
      </c>
      <c r="H5">
        <v>0</v>
      </c>
      <c r="J5">
        <f>SUM(D5:F5:H5)</f>
        <v>6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6</v>
      </c>
      <c r="F8">
        <f>E5-E6-E7</f>
        <v>0</v>
      </c>
      <c r="H8">
        <f>F5-F6-F7</f>
        <v>0</v>
      </c>
      <c r="J8">
        <f>SUM(D8:F8:E8)</f>
        <v>6</v>
      </c>
    </row>
    <row r="9" spans="1:12">
      <c r="A9" t="s">
        <v>12</v>
      </c>
      <c r="D9">
        <v>3</v>
      </c>
      <c r="F9">
        <v>0</v>
      </c>
      <c r="H9">
        <v>0</v>
      </c>
      <c r="J9">
        <f>SUM(D9:F9:E9)</f>
        <v>3</v>
      </c>
    </row>
    <row r="11" spans="1:12">
      <c r="A11" t="s">
        <v>13</v>
      </c>
    </row>
    <row r="12" spans="1:12">
      <c r="B12" t="s">
        <v>14</v>
      </c>
      <c r="D12">
        <v>14326</v>
      </c>
      <c r="F12">
        <v>14754</v>
      </c>
      <c r="H12">
        <v>0</v>
      </c>
      <c r="J12">
        <f>SUM(D12:F12:H12)</f>
        <v>29080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263</v>
      </c>
      <c r="F14">
        <v>106</v>
      </c>
      <c r="H14">
        <v>0</v>
      </c>
      <c r="J14">
        <f>SUM(D14:F14:H14)</f>
        <v>369</v>
      </c>
    </row>
    <row r="15" spans="1:12">
      <c r="B15" t="s">
        <v>7</v>
      </c>
      <c r="D15">
        <f>SUM(D12:D13:D14)</f>
        <v>14589</v>
      </c>
      <c r="F15">
        <f>SUM(F12:F13:F14)</f>
        <v>14860</v>
      </c>
      <c r="H15">
        <f>SUM(H12:H13:H14)</f>
        <v>0</v>
      </c>
      <c r="J15">
        <f>SUM(D15:F15:H15)</f>
        <v>29449</v>
      </c>
    </row>
    <row r="17" spans="1:10">
      <c r="A17" t="s">
        <v>17</v>
      </c>
    </row>
    <row r="18" spans="1:10">
      <c r="B18" t="s">
        <v>14</v>
      </c>
      <c r="D18">
        <v>11568</v>
      </c>
      <c r="F18">
        <v>12051</v>
      </c>
      <c r="H18">
        <v>0</v>
      </c>
      <c r="J18">
        <f>SUM(D18:F18:H18)</f>
        <v>23619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163</v>
      </c>
    </row>
    <row r="22" spans="1:10">
      <c r="B22" t="s">
        <v>7</v>
      </c>
      <c r="J22">
        <f>SUM(J18:J19:J21)</f>
        <v>23782</v>
      </c>
    </row>
    <row r="23" spans="1:10">
      <c r="A23" t="s">
        <v>20</v>
      </c>
      <c r="J23">
        <f>J22/J15*100</f>
        <v>80.756562192264596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23782</v>
      </c>
    </row>
    <row r="29" spans="1:10">
      <c r="B29" t="s">
        <v>25</v>
      </c>
      <c r="C29">
        <v>0</v>
      </c>
    </row>
    <row r="31" spans="1:10">
      <c r="A31" t="s">
        <v>26</v>
      </c>
      <c r="C31">
        <v>56</v>
      </c>
    </row>
    <row r="32" spans="1:10">
      <c r="B32" t="s">
        <v>27</v>
      </c>
      <c r="C32">
        <v>519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218</v>
      </c>
      <c r="G42">
        <v>8438</v>
      </c>
    </row>
    <row r="43" spans="1:7">
      <c r="B43" t="s">
        <v>41</v>
      </c>
      <c r="C43" t="s">
        <v>39</v>
      </c>
      <c r="E43" t="s">
        <v>219</v>
      </c>
      <c r="G43">
        <v>8170</v>
      </c>
    </row>
    <row r="44" spans="1:7">
      <c r="B44" t="s">
        <v>44</v>
      </c>
      <c r="C44">
        <v>268</v>
      </c>
    </row>
  </sheetData>
  <mergeCells count="1">
    <mergeCell ref="A1:L1"/>
  </mergeCells>
  <pageMargins left="0.75" right="0.75" top="0.75" bottom="0.5" header="0.5" footer="0.75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220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8</v>
      </c>
      <c r="F5">
        <v>0</v>
      </c>
      <c r="H5">
        <v>0</v>
      </c>
      <c r="J5">
        <f>SUM(D5:F5:H5)</f>
        <v>8</v>
      </c>
    </row>
    <row r="6" spans="1:12">
      <c r="A6" t="s">
        <v>9</v>
      </c>
      <c r="D6">
        <v>1</v>
      </c>
      <c r="F6">
        <v>0</v>
      </c>
      <c r="H6">
        <v>0</v>
      </c>
      <c r="J6">
        <f>SUM(D6:F6:H6)</f>
        <v>1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7</v>
      </c>
      <c r="F8">
        <f>E5-E6-E7</f>
        <v>0</v>
      </c>
      <c r="H8">
        <f>F5-F6-F7</f>
        <v>0</v>
      </c>
      <c r="J8">
        <f>SUM(D8:F8:E8)</f>
        <v>7</v>
      </c>
    </row>
    <row r="9" spans="1:12">
      <c r="A9" t="s">
        <v>12</v>
      </c>
      <c r="D9">
        <v>4</v>
      </c>
      <c r="F9">
        <v>0</v>
      </c>
      <c r="H9">
        <v>0</v>
      </c>
      <c r="J9">
        <f>SUM(D9:F9:E9)</f>
        <v>4</v>
      </c>
    </row>
    <row r="11" spans="1:12">
      <c r="A11" t="s">
        <v>13</v>
      </c>
    </row>
    <row r="12" spans="1:12">
      <c r="B12" t="s">
        <v>14</v>
      </c>
      <c r="D12">
        <v>25397</v>
      </c>
      <c r="F12">
        <v>27770</v>
      </c>
      <c r="H12">
        <v>0</v>
      </c>
      <c r="J12">
        <f>SUM(D12:F12:H12)</f>
        <v>53167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663</v>
      </c>
      <c r="F14">
        <v>283</v>
      </c>
      <c r="H14">
        <v>0</v>
      </c>
      <c r="J14">
        <f>SUM(D14:F14:H14)</f>
        <v>946</v>
      </c>
    </row>
    <row r="15" spans="1:12">
      <c r="B15" t="s">
        <v>7</v>
      </c>
      <c r="D15">
        <f>SUM(D12:D13:D14)</f>
        <v>26060</v>
      </c>
      <c r="F15">
        <f>SUM(F12:F13:F14)</f>
        <v>28053</v>
      </c>
      <c r="H15">
        <f>SUM(H12:H13:H14)</f>
        <v>0</v>
      </c>
      <c r="J15">
        <f>SUM(D15:F15:H15)</f>
        <v>54113</v>
      </c>
    </row>
    <row r="17" spans="1:10">
      <c r="A17" t="s">
        <v>17</v>
      </c>
    </row>
    <row r="18" spans="1:10">
      <c r="B18" t="s">
        <v>14</v>
      </c>
      <c r="D18">
        <v>14842</v>
      </c>
      <c r="F18">
        <v>18541</v>
      </c>
      <c r="H18">
        <v>0</v>
      </c>
      <c r="J18">
        <f>SUM(D18:F18:H18)</f>
        <v>33383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471</v>
      </c>
    </row>
    <row r="22" spans="1:10">
      <c r="B22" t="s">
        <v>7</v>
      </c>
      <c r="J22">
        <f>SUM(J18:J19:J21)</f>
        <v>33854</v>
      </c>
    </row>
    <row r="23" spans="1:10">
      <c r="A23" t="s">
        <v>20</v>
      </c>
      <c r="J23">
        <f>J22/J15*100</f>
        <v>62.561676491785711</v>
      </c>
    </row>
    <row r="25" spans="1:10">
      <c r="A25" t="s">
        <v>21</v>
      </c>
    </row>
    <row r="26" spans="1:10">
      <c r="B26" t="s">
        <v>22</v>
      </c>
      <c r="C26">
        <v>14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J22-14</f>
        <v>33840</v>
      </c>
    </row>
    <row r="29" spans="1:10">
      <c r="B29" t="s">
        <v>25</v>
      </c>
      <c r="C29">
        <v>0</v>
      </c>
    </row>
    <row r="31" spans="1:10">
      <c r="A31" t="s">
        <v>26</v>
      </c>
      <c r="C31">
        <v>70</v>
      </c>
    </row>
    <row r="32" spans="1:10">
      <c r="B32" t="s">
        <v>27</v>
      </c>
      <c r="C32">
        <v>760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42</v>
      </c>
      <c r="E42" t="s">
        <v>221</v>
      </c>
      <c r="G42">
        <v>10246</v>
      </c>
    </row>
    <row r="43" spans="1:7">
      <c r="B43" t="s">
        <v>41</v>
      </c>
      <c r="C43" t="s">
        <v>72</v>
      </c>
      <c r="E43" t="s">
        <v>222</v>
      </c>
      <c r="G43">
        <v>9632</v>
      </c>
    </row>
    <row r="44" spans="1:7">
      <c r="B44" t="s">
        <v>44</v>
      </c>
      <c r="C44">
        <v>614</v>
      </c>
    </row>
  </sheetData>
  <mergeCells count="1">
    <mergeCell ref="A1:L1"/>
  </mergeCells>
  <pageMargins left="0.75" right="0.75" top="0.75" bottom="0.5" header="0.5" footer="0.75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223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24353</v>
      </c>
      <c r="F12">
        <v>25511</v>
      </c>
      <c r="H12">
        <v>0</v>
      </c>
      <c r="J12">
        <f>SUM(D12:F12:H12)</f>
        <v>49864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737</v>
      </c>
      <c r="F14">
        <v>288</v>
      </c>
      <c r="H14">
        <v>0</v>
      </c>
      <c r="J14">
        <f>SUM(D14:F14:H14)</f>
        <v>1025</v>
      </c>
    </row>
    <row r="15" spans="1:12">
      <c r="B15" t="s">
        <v>7</v>
      </c>
      <c r="D15">
        <f>SUM(D12:D13:D14)</f>
        <v>25090</v>
      </c>
      <c r="F15">
        <f>SUM(F12:F13:F14)</f>
        <v>25799</v>
      </c>
      <c r="H15">
        <f>SUM(H12:H13:H14)</f>
        <v>0</v>
      </c>
      <c r="J15">
        <f>SUM(D15:F15:H15)</f>
        <v>50889</v>
      </c>
    </row>
    <row r="17" spans="1:10">
      <c r="A17" t="s">
        <v>17</v>
      </c>
    </row>
    <row r="18" spans="1:10">
      <c r="B18" t="s">
        <v>14</v>
      </c>
      <c r="D18">
        <v>15577</v>
      </c>
      <c r="F18">
        <v>18108</v>
      </c>
      <c r="H18">
        <v>0</v>
      </c>
      <c r="J18">
        <f>SUM(D18:F18:H18)</f>
        <v>33685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209</v>
      </c>
    </row>
    <row r="22" spans="1:10">
      <c r="B22" t="s">
        <v>7</v>
      </c>
      <c r="J22">
        <f>SUM(J18:J19:J21)</f>
        <v>33894</v>
      </c>
    </row>
    <row r="23" spans="1:10">
      <c r="A23" t="s">
        <v>20</v>
      </c>
      <c r="J23">
        <f>J22/J15*100</f>
        <v>66.603784707893652</v>
      </c>
    </row>
    <row r="25" spans="1:10">
      <c r="A25" t="s">
        <v>21</v>
      </c>
    </row>
    <row r="26" spans="1:10">
      <c r="B26" t="s">
        <v>22</v>
      </c>
      <c r="C26">
        <v>2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J22-2</f>
        <v>33892</v>
      </c>
    </row>
    <row r="29" spans="1:10">
      <c r="B29" t="s">
        <v>25</v>
      </c>
      <c r="C29">
        <v>0</v>
      </c>
    </row>
    <row r="31" spans="1:10">
      <c r="A31" t="s">
        <v>26</v>
      </c>
      <c r="C31">
        <v>67</v>
      </c>
    </row>
    <row r="32" spans="1:10">
      <c r="B32" t="s">
        <v>27</v>
      </c>
      <c r="C32">
        <v>744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224</v>
      </c>
      <c r="G42">
        <v>16354</v>
      </c>
    </row>
    <row r="43" spans="1:7">
      <c r="B43" t="s">
        <v>41</v>
      </c>
      <c r="C43" t="s">
        <v>42</v>
      </c>
      <c r="E43" t="s">
        <v>225</v>
      </c>
      <c r="G43">
        <v>11253</v>
      </c>
    </row>
    <row r="44" spans="1:7">
      <c r="B44" t="s">
        <v>44</v>
      </c>
      <c r="C44">
        <v>5101</v>
      </c>
    </row>
  </sheetData>
  <mergeCells count="1">
    <mergeCell ref="A1:L1"/>
  </mergeCells>
  <pageMargins left="0.75" right="0.75" top="0.75" bottom="0.5" header="0.5" footer="0.75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226</v>
      </c>
    </row>
    <row r="4" spans="1:12">
      <c r="B4" t="s">
        <v>3</v>
      </c>
      <c r="D4" t="s">
        <v>4</v>
      </c>
      <c r="F4" t="s">
        <v>5</v>
      </c>
      <c r="H4" t="s">
        <v>6</v>
      </c>
      <c r="J4" t="s">
        <v>7</v>
      </c>
    </row>
    <row r="5" spans="1:12">
      <c r="A5" t="s">
        <v>8</v>
      </c>
      <c r="D5">
        <v>3</v>
      </c>
      <c r="F5">
        <v>0</v>
      </c>
      <c r="H5">
        <v>0</v>
      </c>
      <c r="J5">
        <f>SUM(D5:F5:H5)</f>
        <v>3</v>
      </c>
    </row>
    <row r="6" spans="1:12">
      <c r="A6" t="s">
        <v>9</v>
      </c>
      <c r="D6">
        <v>0</v>
      </c>
      <c r="F6">
        <v>0</v>
      </c>
      <c r="H6">
        <v>0</v>
      </c>
      <c r="J6">
        <f>SUM(D6:F6:H6)</f>
        <v>0</v>
      </c>
    </row>
    <row r="7" spans="1:12">
      <c r="A7" t="s">
        <v>10</v>
      </c>
      <c r="D7">
        <v>0</v>
      </c>
      <c r="F7">
        <v>0</v>
      </c>
      <c r="H7">
        <v>0</v>
      </c>
      <c r="J7">
        <f>SUM(D7:F7:H7)</f>
        <v>0</v>
      </c>
    </row>
    <row r="8" spans="1:12">
      <c r="A8" t="s">
        <v>11</v>
      </c>
      <c r="D8">
        <f>D5-D6-D7</f>
        <v>3</v>
      </c>
      <c r="F8">
        <f>E5-E6-E7</f>
        <v>0</v>
      </c>
      <c r="H8">
        <f>F5-F6-F7</f>
        <v>0</v>
      </c>
      <c r="J8">
        <f>SUM(D8:F8:E8)</f>
        <v>3</v>
      </c>
    </row>
    <row r="9" spans="1:12">
      <c r="A9" t="s">
        <v>12</v>
      </c>
      <c r="D9">
        <v>0</v>
      </c>
      <c r="F9">
        <v>0</v>
      </c>
      <c r="H9">
        <v>0</v>
      </c>
      <c r="J9">
        <f>SUM(D9:F9:E9)</f>
        <v>0</v>
      </c>
    </row>
    <row r="11" spans="1:12">
      <c r="A11" t="s">
        <v>13</v>
      </c>
    </row>
    <row r="12" spans="1:12">
      <c r="B12" t="s">
        <v>14</v>
      </c>
      <c r="D12">
        <v>12941</v>
      </c>
      <c r="F12">
        <v>13198</v>
      </c>
      <c r="H12">
        <v>0</v>
      </c>
      <c r="J12">
        <f>SUM(D12:F12:H12)</f>
        <v>26139</v>
      </c>
    </row>
    <row r="13" spans="1:12">
      <c r="B13" t="s">
        <v>15</v>
      </c>
      <c r="D13">
        <v>0</v>
      </c>
      <c r="F13">
        <v>0</v>
      </c>
      <c r="H13">
        <v>0</v>
      </c>
      <c r="J13">
        <f>SUM(D13:F13:H13)</f>
        <v>0</v>
      </c>
    </row>
    <row r="14" spans="1:12">
      <c r="B14" t="s">
        <v>16</v>
      </c>
      <c r="D14">
        <v>372</v>
      </c>
      <c r="F14">
        <v>173</v>
      </c>
      <c r="H14">
        <v>0</v>
      </c>
      <c r="J14">
        <f>SUM(D14:F14:H14)</f>
        <v>545</v>
      </c>
    </row>
    <row r="15" spans="1:12">
      <c r="B15" t="s">
        <v>7</v>
      </c>
      <c r="D15">
        <f>SUM(D12:D13:D14)</f>
        <v>13313</v>
      </c>
      <c r="F15">
        <f>SUM(F12:F13:F14)</f>
        <v>13371</v>
      </c>
      <c r="H15">
        <f>SUM(H12:H13:H14)</f>
        <v>0</v>
      </c>
      <c r="J15">
        <f>SUM(D15:F15:H15)</f>
        <v>26684</v>
      </c>
    </row>
    <row r="17" spans="1:10">
      <c r="A17" t="s">
        <v>17</v>
      </c>
    </row>
    <row r="18" spans="1:10">
      <c r="B18" t="s">
        <v>14</v>
      </c>
      <c r="D18">
        <v>8921</v>
      </c>
      <c r="F18">
        <v>9337</v>
      </c>
      <c r="H18">
        <v>0</v>
      </c>
      <c r="J18">
        <f>SUM(D18:F18:H18)</f>
        <v>18258</v>
      </c>
    </row>
    <row r="19" spans="1:10">
      <c r="B19" t="s">
        <v>15</v>
      </c>
      <c r="D19">
        <v>0</v>
      </c>
      <c r="F19">
        <v>0</v>
      </c>
      <c r="H19">
        <v>0</v>
      </c>
      <c r="J19">
        <f>SUM(D19:F19:H19)</f>
        <v>0</v>
      </c>
    </row>
    <row r="20" spans="1:10">
      <c r="B20" t="s">
        <v>18</v>
      </c>
      <c r="J20">
        <v>0</v>
      </c>
    </row>
    <row r="21" spans="1:10">
      <c r="B21" t="s">
        <v>19</v>
      </c>
      <c r="J21">
        <v>77</v>
      </c>
    </row>
    <row r="22" spans="1:10">
      <c r="B22" t="s">
        <v>7</v>
      </c>
      <c r="J22">
        <f>SUM(J18:J19:J21)</f>
        <v>18335</v>
      </c>
    </row>
    <row r="23" spans="1:10">
      <c r="A23" t="s">
        <v>20</v>
      </c>
      <c r="J23">
        <f>J22/J15*100</f>
        <v>68.711587468145709</v>
      </c>
    </row>
    <row r="25" spans="1:10">
      <c r="A25" t="s">
        <v>21</v>
      </c>
    </row>
    <row r="26" spans="1:10">
      <c r="B26" t="s">
        <v>22</v>
      </c>
      <c r="C26">
        <v>0</v>
      </c>
    </row>
    <row r="27" spans="1:10">
      <c r="B27" t="s">
        <v>23</v>
      </c>
      <c r="C27">
        <v>0</v>
      </c>
    </row>
    <row r="28" spans="1:10">
      <c r="B28" t="s">
        <v>24</v>
      </c>
      <c r="C28">
        <f>J22-0</f>
        <v>18335</v>
      </c>
    </row>
    <row r="29" spans="1:10">
      <c r="B29" t="s">
        <v>25</v>
      </c>
      <c r="C29">
        <v>3</v>
      </c>
    </row>
    <row r="31" spans="1:10">
      <c r="A31" t="s">
        <v>26</v>
      </c>
      <c r="C31">
        <v>49</v>
      </c>
    </row>
    <row r="32" spans="1:10">
      <c r="B32" t="s">
        <v>27</v>
      </c>
      <c r="C32">
        <v>533</v>
      </c>
    </row>
    <row r="33" spans="1:7">
      <c r="B33" t="s">
        <v>28</v>
      </c>
    </row>
    <row r="34" spans="1:7">
      <c r="B34" t="s">
        <v>29</v>
      </c>
    </row>
    <row r="35" spans="1:7">
      <c r="A35" t="s">
        <v>30</v>
      </c>
    </row>
    <row r="36" spans="1:7">
      <c r="B36" t="s">
        <v>31</v>
      </c>
      <c r="C36" s="2">
        <v>42798</v>
      </c>
    </row>
    <row r="37" spans="1:7">
      <c r="B37" t="s">
        <v>32</v>
      </c>
      <c r="C37" s="2">
        <v>42805</v>
      </c>
    </row>
    <row r="38" spans="1:7">
      <c r="B38" t="s">
        <v>33</v>
      </c>
      <c r="C38" s="2">
        <v>42805</v>
      </c>
    </row>
    <row r="40" spans="1:7">
      <c r="A40" t="s">
        <v>34</v>
      </c>
    </row>
    <row r="41" spans="1:7">
      <c r="C41" t="s">
        <v>35</v>
      </c>
      <c r="E41" t="s">
        <v>36</v>
      </c>
      <c r="G41" t="s">
        <v>37</v>
      </c>
    </row>
    <row r="42" spans="1:7">
      <c r="B42" t="s">
        <v>38</v>
      </c>
      <c r="C42" t="s">
        <v>39</v>
      </c>
      <c r="E42" t="s">
        <v>227</v>
      </c>
      <c r="G42">
        <v>8131</v>
      </c>
    </row>
    <row r="43" spans="1:7">
      <c r="B43" t="s">
        <v>41</v>
      </c>
      <c r="C43" t="s">
        <v>42</v>
      </c>
      <c r="E43" t="s">
        <v>228</v>
      </c>
      <c r="G43">
        <v>6969</v>
      </c>
    </row>
    <row r="44" spans="1:7">
      <c r="B44" t="s">
        <v>44</v>
      </c>
      <c r="C44">
        <v>1162</v>
      </c>
    </row>
  </sheetData>
  <mergeCells count="1">
    <mergeCell ref="A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1  Khundrakpam (GEN)</vt:lpstr>
      <vt:lpstr>2  Heingang (GEN)</vt:lpstr>
      <vt:lpstr>3  Khurai (GEN)</vt:lpstr>
      <vt:lpstr>4  Kshetrigao </vt:lpstr>
      <vt:lpstr>5  Thongju </vt:lpstr>
      <vt:lpstr>6  Keirao </vt:lpstr>
      <vt:lpstr>7  Andro </vt:lpstr>
      <vt:lpstr>8  Lamlai </vt:lpstr>
      <vt:lpstr>9  Thangmeiband </vt:lpstr>
      <vt:lpstr>10  Uripok </vt:lpstr>
      <vt:lpstr>11  Sagolband </vt:lpstr>
      <vt:lpstr>12  Keishamthong </vt:lpstr>
      <vt:lpstr>13  Singjamei </vt:lpstr>
      <vt:lpstr>14  Yaiskul </vt:lpstr>
      <vt:lpstr>15  Wangkhei </vt:lpstr>
      <vt:lpstr>16  Sekmai </vt:lpstr>
      <vt:lpstr>17  Lamsang </vt:lpstr>
      <vt:lpstr>18  Konthoujam </vt:lpstr>
      <vt:lpstr>19  Patsoi </vt:lpstr>
      <vt:lpstr>20  Langthabal </vt:lpstr>
      <vt:lpstr>21  Naoriya pakhanglakpa </vt:lpstr>
      <vt:lpstr>22  Wangoi </vt:lpstr>
      <vt:lpstr>23  Mayang imphal </vt:lpstr>
      <vt:lpstr>24  Nambol </vt:lpstr>
      <vt:lpstr>25  Oinam </vt:lpstr>
      <vt:lpstr>26  Bishnupur </vt:lpstr>
      <vt:lpstr>27  Moirang </vt:lpstr>
      <vt:lpstr>28  Thanga </vt:lpstr>
      <vt:lpstr>29  Kumbi </vt:lpstr>
      <vt:lpstr>30  Lilong </vt:lpstr>
      <vt:lpstr>31  Thoubal </vt:lpstr>
      <vt:lpstr>32  Wangkhem </vt:lpstr>
      <vt:lpstr>33  Heirok </vt:lpstr>
      <vt:lpstr>34  Wangjing tentha </vt:lpstr>
      <vt:lpstr>35  Khangabok </vt:lpstr>
      <vt:lpstr>36  Wabgai </vt:lpstr>
      <vt:lpstr>37  Kakching </vt:lpstr>
      <vt:lpstr>38  Hiyanglam </vt:lpstr>
      <vt:lpstr>39  Sugnu </vt:lpstr>
      <vt:lpstr>40  Jiribam </vt:lpstr>
      <vt:lpstr>41  Chandel (st) </vt:lpstr>
      <vt:lpstr>42  Tengnoupal (st) </vt:lpstr>
      <vt:lpstr>43  Phungyar (st) </vt:lpstr>
      <vt:lpstr>44  Ukhrul (st) </vt:lpstr>
      <vt:lpstr>45  Chingai (st) </vt:lpstr>
      <vt:lpstr>46  Saikul (st) </vt:lpstr>
      <vt:lpstr>47  Karong (st) </vt:lpstr>
      <vt:lpstr>48  Mao (st) </vt:lpstr>
      <vt:lpstr>49  Tadubi (st) </vt:lpstr>
      <vt:lpstr>50  Kangpokpi (Gen) </vt:lpstr>
      <vt:lpstr>51  Saitu (ST) </vt:lpstr>
      <vt:lpstr>52  Tamei (ST) </vt:lpstr>
      <vt:lpstr>53  Tamenglong (ST) </vt:lpstr>
      <vt:lpstr>54  Nungba (ST) </vt:lpstr>
      <vt:lpstr>55  Tipaimukh (st) </vt:lpstr>
      <vt:lpstr>56  Thanlon (ST) </vt:lpstr>
      <vt:lpstr>57  Henglep (ST) </vt:lpstr>
      <vt:lpstr>58  Churachandpur (ST) </vt:lpstr>
      <vt:lpstr>59  Saikot (ST) </vt:lpstr>
      <vt:lpstr>60  Singhat (ST)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2017-04-12T06:27:36Z</dcterms:created>
  <dcterms:modified xsi:type="dcterms:W3CDTF">2017-04-19T10:59:42Z</dcterms:modified>
</cp:coreProperties>
</file>