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erformanceWomenCandidate" sheetId="2" r:id="rId1"/>
  </sheets>
  <calcPr calcId="125725"/>
</workbook>
</file>

<file path=xl/calcChain.xml><?xml version="1.0" encoding="utf-8"?>
<calcChain xmlns="http://schemas.openxmlformats.org/spreadsheetml/2006/main">
  <c r="I3" i="2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</calcChain>
</file>

<file path=xl/sharedStrings.xml><?xml version="1.0" encoding="utf-8"?>
<sst xmlns="http://schemas.openxmlformats.org/spreadsheetml/2006/main" count="80" uniqueCount="52">
  <si>
    <t>Performance Of Women Candidates</t>
  </si>
  <si>
    <t>Constituency Name</t>
  </si>
  <si>
    <t>Constituency No.</t>
  </si>
  <si>
    <t>Candidate No.</t>
  </si>
  <si>
    <t>Candidate Name</t>
  </si>
  <si>
    <t>Party Type</t>
  </si>
  <si>
    <t>Party Name</t>
  </si>
  <si>
    <t xml:space="preserve"> Vote Secured</t>
  </si>
  <si>
    <t xml:space="preserve"> Total Valid Votes</t>
  </si>
  <si>
    <t xml:space="preserve"> % of Votes Secured Over Total Electors</t>
  </si>
  <si>
    <t xml:space="preserve"> % of Votes Secured Over Total Votes Poled</t>
  </si>
  <si>
    <t xml:space="preserve"> Status</t>
  </si>
  <si>
    <t>Total Electors</t>
  </si>
  <si>
    <t>Constituency Type</t>
  </si>
  <si>
    <t xml:space="preserve">Keishamthong </t>
  </si>
  <si>
    <t>YUMNAM ROMOLA DEVI</t>
  </si>
  <si>
    <t>U</t>
  </si>
  <si>
    <t>MNDF</t>
  </si>
  <si>
    <t>FD</t>
  </si>
  <si>
    <t>GEN</t>
  </si>
  <si>
    <t xml:space="preserve">Sagolband </t>
  </si>
  <si>
    <t>G. SATYABATI DEVI</t>
  </si>
  <si>
    <t>NPEP</t>
  </si>
  <si>
    <t xml:space="preserve">Karong (st) </t>
  </si>
  <si>
    <t>T.K. SAVANAI</t>
  </si>
  <si>
    <t>LJP</t>
  </si>
  <si>
    <t>ST</t>
  </si>
  <si>
    <t xml:space="preserve">Bishnupur </t>
  </si>
  <si>
    <t>THOKCHOM BINDASAKHI DEVI</t>
  </si>
  <si>
    <t>N</t>
  </si>
  <si>
    <t>AITC</t>
  </si>
  <si>
    <t xml:space="preserve">Langthabal </t>
  </si>
  <si>
    <t>LOITONGBAM TILOTAMA DEVI</t>
  </si>
  <si>
    <t>INC</t>
  </si>
  <si>
    <t xml:space="preserve">Patsoi </t>
  </si>
  <si>
    <t>KM. AK. MIRABAI DEVI</t>
  </si>
  <si>
    <t>W</t>
  </si>
  <si>
    <t xml:space="preserve">Chandel (st) </t>
  </si>
  <si>
    <t>S.S. OLISH</t>
  </si>
  <si>
    <t>BJP</t>
  </si>
  <si>
    <t>L</t>
  </si>
  <si>
    <t xml:space="preserve">Kangpokpi (Gen) </t>
  </si>
  <si>
    <t>NEMCHA KIPGEN</t>
  </si>
  <si>
    <t xml:space="preserve">Tipaimukh (st) </t>
  </si>
  <si>
    <t>THANGTHATLING SINATE</t>
  </si>
  <si>
    <t>Z</t>
  </si>
  <si>
    <t>IND</t>
  </si>
  <si>
    <t xml:space="preserve">Thoubal </t>
  </si>
  <si>
    <t>IROM SHARMILA CHANU</t>
  </si>
  <si>
    <t>PRJA</t>
  </si>
  <si>
    <t xml:space="preserve">Wabgai </t>
  </si>
  <si>
    <t>NAJIMA BIBI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</si>
</sst>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selection sqref="A1:D1"/>
    </sheetView>
  </sheetViews>
  <sheetFormatPr defaultRowHeight="15"/>
  <cols>
    <col min="1" max="1" width="13.85546875" customWidth="1"/>
  </cols>
  <sheetData>
    <row r="1" spans="1:13">
      <c r="A1" s="1" t="s">
        <v>0</v>
      </c>
      <c r="B1" s="1"/>
      <c r="C1" s="1"/>
      <c r="D1" s="1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 t="s">
        <v>14</v>
      </c>
      <c r="B3">
        <v>12</v>
      </c>
      <c r="C3">
        <v>8</v>
      </c>
      <c r="D3" t="s">
        <v>15</v>
      </c>
      <c r="E3" t="s">
        <v>16</v>
      </c>
      <c r="F3" t="s">
        <v>17</v>
      </c>
      <c r="G3">
        <v>96</v>
      </c>
      <c r="H3">
        <v>23107</v>
      </c>
      <c r="I3">
        <f t="shared" ref="I3:I13" si="0">G3/L3*100</f>
        <v>0.36234619159054876</v>
      </c>
      <c r="J3">
        <f t="shared" ref="J3:J13" si="1">G3/H3*100</f>
        <v>0.41545851906348724</v>
      </c>
      <c r="K3" t="s">
        <v>18</v>
      </c>
      <c r="L3">
        <v>26494</v>
      </c>
      <c r="M3" t="s">
        <v>19</v>
      </c>
    </row>
    <row r="4" spans="1:13">
      <c r="A4" t="s">
        <v>20</v>
      </c>
      <c r="B4">
        <v>11</v>
      </c>
      <c r="C4">
        <v>3</v>
      </c>
      <c r="D4" t="s">
        <v>21</v>
      </c>
      <c r="E4" t="s">
        <v>16</v>
      </c>
      <c r="F4" t="s">
        <v>22</v>
      </c>
      <c r="G4">
        <v>982</v>
      </c>
      <c r="H4">
        <v>19567</v>
      </c>
      <c r="I4">
        <f t="shared" si="0"/>
        <v>4.2577176552202571</v>
      </c>
      <c r="J4">
        <f t="shared" si="1"/>
        <v>5.0186538559820102</v>
      </c>
      <c r="K4" t="s">
        <v>18</v>
      </c>
      <c r="L4">
        <v>23064</v>
      </c>
      <c r="M4" t="s">
        <v>19</v>
      </c>
    </row>
    <row r="5" spans="1:13">
      <c r="A5" t="s">
        <v>23</v>
      </c>
      <c r="B5">
        <v>47</v>
      </c>
      <c r="C5">
        <v>4</v>
      </c>
      <c r="D5" t="s">
        <v>24</v>
      </c>
      <c r="E5" t="s">
        <v>16</v>
      </c>
      <c r="F5" t="s">
        <v>25</v>
      </c>
      <c r="G5">
        <v>951</v>
      </c>
      <c r="H5">
        <v>44096</v>
      </c>
      <c r="I5">
        <f t="shared" si="0"/>
        <v>1.8185294961277367</v>
      </c>
      <c r="J5">
        <f t="shared" si="1"/>
        <v>2.1566582002902757</v>
      </c>
      <c r="K5" t="s">
        <v>18</v>
      </c>
      <c r="L5">
        <v>52295</v>
      </c>
      <c r="M5" t="s">
        <v>26</v>
      </c>
    </row>
    <row r="6" spans="1:13">
      <c r="A6" t="s">
        <v>27</v>
      </c>
      <c r="B6">
        <v>26</v>
      </c>
      <c r="C6">
        <v>3</v>
      </c>
      <c r="D6" t="s">
        <v>28</v>
      </c>
      <c r="E6" t="s">
        <v>29</v>
      </c>
      <c r="F6" t="s">
        <v>30</v>
      </c>
      <c r="G6">
        <v>105</v>
      </c>
      <c r="H6">
        <v>26641</v>
      </c>
      <c r="I6">
        <f t="shared" si="0"/>
        <v>0.35520974289580515</v>
      </c>
      <c r="J6">
        <f t="shared" si="1"/>
        <v>0.39412934949889267</v>
      </c>
      <c r="K6" t="s">
        <v>18</v>
      </c>
      <c r="L6">
        <v>29560</v>
      </c>
      <c r="M6" t="s">
        <v>19</v>
      </c>
    </row>
    <row r="7" spans="1:13">
      <c r="A7" t="s">
        <v>31</v>
      </c>
      <c r="B7">
        <v>20</v>
      </c>
      <c r="C7">
        <v>3</v>
      </c>
      <c r="D7" t="s">
        <v>32</v>
      </c>
      <c r="E7" t="s">
        <v>29</v>
      </c>
      <c r="F7" t="s">
        <v>33</v>
      </c>
      <c r="G7">
        <v>983</v>
      </c>
      <c r="H7">
        <v>24681</v>
      </c>
      <c r="I7">
        <f t="shared" si="0"/>
        <v>3.6391233525840367</v>
      </c>
      <c r="J7">
        <f t="shared" si="1"/>
        <v>3.9828207933227993</v>
      </c>
      <c r="K7" t="s">
        <v>18</v>
      </c>
      <c r="L7">
        <v>27012</v>
      </c>
      <c r="M7" t="s">
        <v>19</v>
      </c>
    </row>
    <row r="8" spans="1:13">
      <c r="A8" t="s">
        <v>34</v>
      </c>
      <c r="B8">
        <v>19</v>
      </c>
      <c r="C8">
        <v>1</v>
      </c>
      <c r="D8" t="s">
        <v>35</v>
      </c>
      <c r="E8" t="s">
        <v>29</v>
      </c>
      <c r="F8" t="s">
        <v>33</v>
      </c>
      <c r="G8">
        <v>13405</v>
      </c>
      <c r="H8">
        <v>31460</v>
      </c>
      <c r="I8">
        <f t="shared" si="0"/>
        <v>38.39214113873296</v>
      </c>
      <c r="J8">
        <f t="shared" si="1"/>
        <v>42.609663064208519</v>
      </c>
      <c r="K8" t="s">
        <v>36</v>
      </c>
      <c r="L8">
        <v>34916</v>
      </c>
      <c r="M8" t="s">
        <v>19</v>
      </c>
    </row>
    <row r="9" spans="1:13">
      <c r="A9" t="s">
        <v>37</v>
      </c>
      <c r="B9">
        <v>41</v>
      </c>
      <c r="C9">
        <v>3</v>
      </c>
      <c r="D9" t="s">
        <v>38</v>
      </c>
      <c r="E9" t="s">
        <v>29</v>
      </c>
      <c r="F9" t="s">
        <v>39</v>
      </c>
      <c r="G9">
        <v>9842</v>
      </c>
      <c r="H9">
        <v>42336</v>
      </c>
      <c r="I9">
        <f t="shared" si="0"/>
        <v>20.700389105058363</v>
      </c>
      <c r="J9">
        <f t="shared" si="1"/>
        <v>23.247354497354497</v>
      </c>
      <c r="K9" t="s">
        <v>40</v>
      </c>
      <c r="L9">
        <v>47545</v>
      </c>
      <c r="M9" t="s">
        <v>26</v>
      </c>
    </row>
    <row r="10" spans="1:13">
      <c r="A10" t="s">
        <v>41</v>
      </c>
      <c r="B10">
        <v>50</v>
      </c>
      <c r="C10">
        <v>2</v>
      </c>
      <c r="D10" t="s">
        <v>42</v>
      </c>
      <c r="E10" t="s">
        <v>29</v>
      </c>
      <c r="F10" t="s">
        <v>39</v>
      </c>
      <c r="G10">
        <v>13485</v>
      </c>
      <c r="H10">
        <v>26065</v>
      </c>
      <c r="I10">
        <f t="shared" si="0"/>
        <v>44.818532305237966</v>
      </c>
      <c r="J10">
        <f t="shared" si="1"/>
        <v>51.736044504124301</v>
      </c>
      <c r="K10" t="s">
        <v>36</v>
      </c>
      <c r="L10">
        <v>30088</v>
      </c>
      <c r="M10" t="s">
        <v>19</v>
      </c>
    </row>
    <row r="11" spans="1:13">
      <c r="A11" t="s">
        <v>43</v>
      </c>
      <c r="B11">
        <v>55</v>
      </c>
      <c r="C11">
        <v>5</v>
      </c>
      <c r="D11" t="s">
        <v>44</v>
      </c>
      <c r="E11" t="s">
        <v>45</v>
      </c>
      <c r="F11" t="s">
        <v>46</v>
      </c>
      <c r="G11">
        <v>106</v>
      </c>
      <c r="H11">
        <v>11798</v>
      </c>
      <c r="I11">
        <f t="shared" si="0"/>
        <v>0.59343858470496025</v>
      </c>
      <c r="J11">
        <f t="shared" si="1"/>
        <v>0.89845736565519574</v>
      </c>
      <c r="K11" t="s">
        <v>18</v>
      </c>
      <c r="L11">
        <v>17862</v>
      </c>
      <c r="M11" t="s">
        <v>26</v>
      </c>
    </row>
    <row r="12" spans="1:13">
      <c r="A12" t="s">
        <v>47</v>
      </c>
      <c r="B12">
        <v>31</v>
      </c>
      <c r="C12">
        <v>4</v>
      </c>
      <c r="D12" t="s">
        <v>48</v>
      </c>
      <c r="E12" t="s">
        <v>16</v>
      </c>
      <c r="F12" t="s">
        <v>49</v>
      </c>
      <c r="G12">
        <v>90</v>
      </c>
      <c r="H12">
        <v>27271</v>
      </c>
      <c r="I12">
        <f t="shared" si="0"/>
        <v>0.29998000133324443</v>
      </c>
      <c r="J12">
        <f t="shared" si="1"/>
        <v>0.3300209013237505</v>
      </c>
      <c r="K12" t="s">
        <v>18</v>
      </c>
      <c r="L12">
        <v>30002</v>
      </c>
      <c r="M12" t="s">
        <v>19</v>
      </c>
    </row>
    <row r="13" spans="1:13">
      <c r="A13" t="s">
        <v>50</v>
      </c>
      <c r="B13">
        <v>36</v>
      </c>
      <c r="C13">
        <v>4</v>
      </c>
      <c r="D13" t="s">
        <v>51</v>
      </c>
      <c r="E13" t="s">
        <v>16</v>
      </c>
      <c r="F13" t="s">
        <v>49</v>
      </c>
      <c r="G13">
        <v>33</v>
      </c>
      <c r="H13">
        <v>27622</v>
      </c>
      <c r="I13">
        <f t="shared" si="0"/>
        <v>0.11135857461024498</v>
      </c>
      <c r="J13">
        <f t="shared" si="1"/>
        <v>0.11946998769097096</v>
      </c>
      <c r="K13" t="s">
        <v>18</v>
      </c>
      <c r="L13">
        <v>29634</v>
      </c>
      <c r="M13" t="s">
        <v>19</v>
      </c>
    </row>
  </sheetData>
  <mergeCells count="1">
    <mergeCell ref="A1:D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PerformanceWomenCandidate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2017-04-12T06:26:41Z</dcterms:created>
  <dcterms:modified xsi:type="dcterms:W3CDTF">2017-04-19T10:59:05Z</dcterms:modified>
</cp:coreProperties>
</file>