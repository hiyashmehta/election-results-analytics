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worksheets/sheetd.xml" ContentType="application/vnd.openxmlformats-officedocument.spreadsheetml.worksheet+xml"/>
  <Override PartName="/xl/worksheets/sheete.xml" ContentType="application/vnd.openxmlformats-officedocument.spreadsheetml.worksheet+xml"/>
  <Override PartName="/xl/worksheets/sheetf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a.xml" ContentType="application/vnd.openxmlformats-officedocument.spreadsheetml.worksheet+xml"/>
  <Override PartName="/xl/worksheets/sheet1b.xml" ContentType="application/vnd.openxmlformats-officedocument.spreadsheetml.worksheet+xml"/>
  <Override PartName="/xl/worksheets/sheet1c.xml" ContentType="application/vnd.openxmlformats-officedocument.spreadsheetml.worksheet+xml"/>
  <Override PartName="/xl/worksheets/sheet1d.xml" ContentType="application/vnd.openxmlformats-officedocument.spreadsheetml.worksheet+xml"/>
  <Override PartName="/xl/worksheets/sheet1e.xml" ContentType="application/vnd.openxmlformats-officedocument.spreadsheetml.worksheet+xml"/>
  <Override PartName="/xl/worksheets/sheet1f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a.xml" ContentType="application/vnd.openxmlformats-officedocument.spreadsheetml.worksheet+xml"/>
  <Override PartName="/xl/worksheets/sheet2b.xml" ContentType="application/vnd.openxmlformats-officedocument.spreadsheetml.worksheet+xml"/>
  <Override PartName="/xl/worksheets/sheet2c.xml" ContentType="application/vnd.openxmlformats-officedocument.spreadsheetml.worksheet+xml"/>
  <Override PartName="/xl/worksheets/sheet2d.xml" ContentType="application/vnd.openxmlformats-officedocument.spreadsheetml.worksheet+xml"/>
  <Override PartName="/xl/worksheets/sheet2e.xml" ContentType="application/vnd.openxmlformats-officedocument.spreadsheetml.worksheet+xml"/>
  <Override PartName="/xl/worksheets/sheet2f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3a.xml" ContentType="application/vnd.openxmlformats-officedocument.spreadsheetml.worksheet+xml"/>
  <Override PartName="/xl/worksheets/sheet3b.xml" ContentType="application/vnd.openxmlformats-officedocument.spreadsheetml.worksheet+xml"/>
  <Override PartName="/xl/worksheets/sheet3c.xml" ContentType="application/vnd.openxmlformats-officedocument.spreadsheetml.worksheet+xml"/>
  <Override PartName="/xl/worksheets/sheet3d.xml" ContentType="application/vnd.openxmlformats-officedocument.spreadsheetml.worksheet+xml"/>
  <Override PartName="/xl/worksheets/sheet3e.xml" ContentType="application/vnd.openxmlformats-officedocument.spreadsheetml.worksheet+xml"/>
  <Override PartName="/xl/worksheets/sheet3f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6e5bab13d41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583d5e5213437095d519fa8ed4744f.psmdcp" Id="R138bafb1960a42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  Purola" sheetId="2" r:id="rId2"/>
    <x:sheet name="2  Yamunotri" sheetId="3" r:id="rId3"/>
    <x:sheet name="3  Gangotri" sheetId="4" r:id="rId4"/>
    <x:sheet name="4  Badrinath" sheetId="5" r:id="rId5"/>
    <x:sheet name="5  Tharali" sheetId="6" r:id="rId6"/>
    <x:sheet name="6  Karnprayag" sheetId="7" r:id="rId7"/>
    <x:sheet name="7  Kedarnath" sheetId="8" r:id="rId8"/>
    <x:sheet name="8  Rudraprayag" sheetId="9" r:id="rId9"/>
    <x:sheet name="9  Ghanshali" sheetId="10" r:id="rId10"/>
    <x:sheet name="10  Devprayag" sheetId="11" r:id="rId11"/>
    <x:sheet name="11  Narendranagar" sheetId="12" r:id="rId12"/>
    <x:sheet name="12  Pratapnagar" sheetId="13" r:id="rId13"/>
    <x:sheet name="13  Tehri" sheetId="14" r:id="rId14"/>
    <x:sheet name="14  Dhanolti" sheetId="15" r:id="rId15"/>
    <x:sheet name="15  Chakrata" sheetId="16" r:id="rId16"/>
    <x:sheet name="16  Vikasnagar" sheetId="17" r:id="rId17"/>
    <x:sheet name="17  Sahaspur" sheetId="18" r:id="rId18"/>
    <x:sheet name="18  Dharampur" sheetId="19" r:id="rId19"/>
    <x:sheet name="19  Raipur" sheetId="20" r:id="rId20"/>
    <x:sheet name="20  Rajpur Road" sheetId="21" r:id="rId21"/>
    <x:sheet name="21  Dehradun Cantt." sheetId="22" r:id="rId22"/>
    <x:sheet name="22  Mussoorie" sheetId="23" r:id="rId23"/>
    <x:sheet name="23  Doiwala" sheetId="24" r:id="rId24"/>
    <x:sheet name="24  Rishikesh" sheetId="25" r:id="rId25"/>
    <x:sheet name="25  Hardwar" sheetId="26" r:id="rId26"/>
    <x:sheet name="26  B.H.E.L. ranipur" sheetId="27" r:id="rId27"/>
    <x:sheet name="27  Jwalapur" sheetId="28" r:id="rId28"/>
    <x:sheet name="28  Bhagwanpur" sheetId="29" r:id="rId29"/>
    <x:sheet name="29  Jhabrera" sheetId="30" r:id="rId30"/>
    <x:sheet name="30  Pirankaliyar" sheetId="31" r:id="rId31"/>
    <x:sheet name="31  Roorkee" sheetId="32" r:id="rId32"/>
    <x:sheet name="32  Khanpur" sheetId="33" r:id="rId33"/>
    <x:sheet name="33  Manglore" sheetId="34" r:id="rId34"/>
    <x:sheet name="34  Laksar" sheetId="35" r:id="rId35"/>
    <x:sheet name="35  Hardwar Rural" sheetId="36" r:id="rId36"/>
    <x:sheet name="36  Yamkeshwar" sheetId="37" r:id="rId37"/>
    <x:sheet name="37  Pauri" sheetId="38" r:id="rId38"/>
    <x:sheet name="38  Srinagar" sheetId="39" r:id="rId39"/>
    <x:sheet name="39  Chaubattakhal" sheetId="40" r:id="rId40"/>
    <x:sheet name="40  Lansdowne" sheetId="41" r:id="rId41"/>
    <x:sheet name="41  Kotdwar" sheetId="42" r:id="rId42"/>
    <x:sheet name="42  Dharchula" sheetId="43" r:id="rId43"/>
    <x:sheet name="43  Didihat" sheetId="44" r:id="rId44"/>
    <x:sheet name="44  Pithoragarh" sheetId="45" r:id="rId45"/>
    <x:sheet name="45  Gangolihat" sheetId="46" r:id="rId46"/>
    <x:sheet name="46  Kapkot" sheetId="47" r:id="rId47"/>
    <x:sheet name="47  Bageshwar" sheetId="48" r:id="rId48"/>
    <x:sheet name="48  Dwarahat" sheetId="49" r:id="rId49"/>
    <x:sheet name="49  Salt" sheetId="50" r:id="rId50"/>
    <x:sheet name="50  Ranikhet" sheetId="51" r:id="rId51"/>
    <x:sheet name="51  Someshwar (s.c.)" sheetId="52" r:id="rId52"/>
    <x:sheet name="52  Almora" sheetId="53" r:id="rId53"/>
    <x:sheet name="53  Jageshwar" sheetId="54" r:id="rId54"/>
    <x:sheet name="54  Lohaghat" sheetId="55" r:id="rId55"/>
    <x:sheet name="55  Champawat" sheetId="56" r:id="rId56"/>
    <x:sheet name="56  Lalkuwa" sheetId="57" r:id="rId57"/>
    <x:sheet name="57  Bhimtal" sheetId="58" r:id="rId58"/>
    <x:sheet name="58  Nainital" sheetId="59" r:id="rId59"/>
    <x:sheet name="59  Haldwani" sheetId="60" r:id="rId60"/>
    <x:sheet name="60  Kaladhungi" sheetId="61" r:id="rId61"/>
    <x:sheet name="61  Ramnagar" sheetId="62" r:id="rId62"/>
    <x:sheet name="62  Jaspur" sheetId="63" r:id="rId63"/>
    <x:sheet name="63  Kashipur" sheetId="64" r:id="rId64"/>
    <x:sheet name="64  Bajpur" sheetId="65" r:id="rId65"/>
    <x:sheet name="65  Gadarpur" sheetId="66" r:id="rId66"/>
    <x:sheet name="66  Rudrapur" sheetId="67" r:id="rId67"/>
    <x:sheet name="67  Kichha" sheetId="68" r:id="rId68"/>
    <x:sheet name="68  Sitarganj" sheetId="69" r:id="rId69"/>
    <x:sheet name="69  Nanak matta" sheetId="70" r:id="rId70"/>
    <x:sheet name="70  Khatima" sheetId="71" r:id="rId71"/>
  </x:sheets>
  <x:definedNames/>
  <x:calcPr calcId="125725"/>
</x:workbook>
</file>

<file path=xl/calcChain.xml><?xml version="1.0" encoding="utf-8"?>
<x:calcChain xmlns:x="http://schemas.openxmlformats.org/spreadsheetml/2006/main">
  <x:c r="J5" i="2"/>
  <x:c r="J6" i="2"/>
  <x:c r="J7" i="2"/>
  <x:c r="D8" i="2"/>
  <x:c r="F8" i="2"/>
  <x:c r="H8" i="2"/>
  <x:c r="J8" i="2"/>
  <x:c r="J9" i="2"/>
  <x:c r="J12" i="2"/>
  <x:c r="J13" i="2"/>
  <x:c r="J14" i="2"/>
  <x:c r="D15" i="2"/>
  <x:c r="F15" i="2"/>
  <x:c r="H15" i="2"/>
  <x:c r="J15" i="2"/>
  <x:c r="J18" i="2"/>
  <x:c r="J19" i="2"/>
  <x:c r="J22" i="2"/>
  <x:c r="J23" i="2"/>
  <x:c r="C28" i="2"/>
  <x:c r="J5" i="3"/>
  <x:c r="J6" i="3"/>
  <x:c r="J7" i="3"/>
  <x:c r="D8" i="3"/>
  <x:c r="F8" i="3"/>
  <x:c r="H8" i="3"/>
  <x:c r="J8" i="3"/>
  <x:c r="J9" i="3"/>
  <x:c r="J12" i="3"/>
  <x:c r="J13" i="3"/>
  <x:c r="J14" i="3"/>
  <x:c r="D15" i="3"/>
  <x:c r="F15" i="3"/>
  <x:c r="H15" i="3"/>
  <x:c r="J15" i="3"/>
  <x:c r="J18" i="3"/>
  <x:c r="J19" i="3"/>
  <x:c r="J22" i="3"/>
  <x:c r="J23" i="3"/>
  <x:c r="C28" i="3"/>
  <x:c r="J5" i="4"/>
  <x:c r="J6" i="4"/>
  <x:c r="J7" i="4"/>
  <x:c r="D8" i="4"/>
  <x:c r="F8" i="4"/>
  <x:c r="H8" i="4"/>
  <x:c r="J8" i="4"/>
  <x:c r="J9" i="4"/>
  <x:c r="J12" i="4"/>
  <x:c r="J13" i="4"/>
  <x:c r="J14" i="4"/>
  <x:c r="D15" i="4"/>
  <x:c r="F15" i="4"/>
  <x:c r="H15" i="4"/>
  <x:c r="J15" i="4"/>
  <x:c r="J18" i="4"/>
  <x:c r="J19" i="4"/>
  <x:c r="J22" i="4"/>
  <x:c r="J23" i="4"/>
  <x:c r="C28" i="4"/>
  <x:c r="J5" i="5"/>
  <x:c r="J6" i="5"/>
  <x:c r="J7" i="5"/>
  <x:c r="D8" i="5"/>
  <x:c r="F8" i="5"/>
  <x:c r="H8" i="5"/>
  <x:c r="J8" i="5"/>
  <x:c r="J9" i="5"/>
  <x:c r="J12" i="5"/>
  <x:c r="J13" i="5"/>
  <x:c r="J14" i="5"/>
  <x:c r="D15" i="5"/>
  <x:c r="F15" i="5"/>
  <x:c r="H15" i="5"/>
  <x:c r="J15" i="5"/>
  <x:c r="J18" i="5"/>
  <x:c r="J19" i="5"/>
  <x:c r="J22" i="5"/>
  <x:c r="J23" i="5"/>
  <x:c r="C28" i="5"/>
  <x:c r="J5" i="6"/>
  <x:c r="J6" i="6"/>
  <x:c r="J7" i="6"/>
  <x:c r="D8" i="6"/>
  <x:c r="F8" i="6"/>
  <x:c r="H8" i="6"/>
  <x:c r="J8" i="6"/>
  <x:c r="J9" i="6"/>
  <x:c r="J12" i="6"/>
  <x:c r="J13" i="6"/>
  <x:c r="J14" i="6"/>
  <x:c r="D15" i="6"/>
  <x:c r="F15" i="6"/>
  <x:c r="H15" i="6"/>
  <x:c r="J15" i="6"/>
  <x:c r="J18" i="6"/>
  <x:c r="J19" i="6"/>
  <x:c r="J22" i="6"/>
  <x:c r="J23" i="6"/>
  <x:c r="C28" i="6"/>
  <x:c r="J5" i="7"/>
  <x:c r="J6" i="7"/>
  <x:c r="J7" i="7"/>
  <x:c r="D8" i="7"/>
  <x:c r="F8" i="7"/>
  <x:c r="H8" i="7"/>
  <x:c r="J8" i="7"/>
  <x:c r="J9" i="7"/>
  <x:c r="J12" i="7"/>
  <x:c r="J13" i="7"/>
  <x:c r="J14" i="7"/>
  <x:c r="D15" i="7"/>
  <x:c r="F15" i="7"/>
  <x:c r="H15" i="7"/>
  <x:c r="J15" i="7"/>
  <x:c r="J18" i="7"/>
  <x:c r="J19" i="7"/>
  <x:c r="J22" i="7"/>
  <x:c r="J23" i="7"/>
  <x:c r="C28" i="7"/>
  <x:c r="J5" i="8"/>
  <x:c r="J6" i="8"/>
  <x:c r="J7" i="8"/>
  <x:c r="D8" i="8"/>
  <x:c r="F8" i="8"/>
  <x:c r="H8" i="8"/>
  <x:c r="J8" i="8"/>
  <x:c r="J9" i="8"/>
  <x:c r="J12" i="8"/>
  <x:c r="J13" i="8"/>
  <x:c r="J14" i="8"/>
  <x:c r="D15" i="8"/>
  <x:c r="F15" i="8"/>
  <x:c r="H15" i="8"/>
  <x:c r="J15" i="8"/>
  <x:c r="J18" i="8"/>
  <x:c r="J19" i="8"/>
  <x:c r="J22" i="8"/>
  <x:c r="J23" i="8"/>
  <x:c r="C28" i="8"/>
  <x:c r="J5" i="9"/>
  <x:c r="J6" i="9"/>
  <x:c r="J7" i="9"/>
  <x:c r="D8" i="9"/>
  <x:c r="F8" i="9"/>
  <x:c r="H8" i="9"/>
  <x:c r="J8" i="9"/>
  <x:c r="J9" i="9"/>
  <x:c r="J12" i="9"/>
  <x:c r="J13" i="9"/>
  <x:c r="J14" i="9"/>
  <x:c r="D15" i="9"/>
  <x:c r="F15" i="9"/>
  <x:c r="H15" i="9"/>
  <x:c r="J15" i="9"/>
  <x:c r="J18" i="9"/>
  <x:c r="J19" i="9"/>
  <x:c r="J22" i="9"/>
  <x:c r="J23" i="9"/>
  <x:c r="C28" i="9"/>
  <x:c r="J5" i="10"/>
  <x:c r="J6" i="10"/>
  <x:c r="J7" i="10"/>
  <x:c r="D8" i="10"/>
  <x:c r="F8" i="10"/>
  <x:c r="H8" i="10"/>
  <x:c r="J8" i="10"/>
  <x:c r="J9" i="10"/>
  <x:c r="J12" i="10"/>
  <x:c r="J13" i="10"/>
  <x:c r="J14" i="10"/>
  <x:c r="D15" i="10"/>
  <x:c r="F15" i="10"/>
  <x:c r="H15" i="10"/>
  <x:c r="J15" i="10"/>
  <x:c r="J18" i="10"/>
  <x:c r="J19" i="10"/>
  <x:c r="J22" i="10"/>
  <x:c r="J23" i="10"/>
  <x:c r="C28" i="10"/>
  <x:c r="J5" i="11"/>
  <x:c r="J6" i="11"/>
  <x:c r="J7" i="11"/>
  <x:c r="D8" i="11"/>
  <x:c r="F8" i="11"/>
  <x:c r="H8" i="11"/>
  <x:c r="J8" i="11"/>
  <x:c r="J9" i="11"/>
  <x:c r="J12" i="11"/>
  <x:c r="J13" i="11"/>
  <x:c r="J14" i="11"/>
  <x:c r="D15" i="11"/>
  <x:c r="F15" i="11"/>
  <x:c r="H15" i="11"/>
  <x:c r="J15" i="11"/>
  <x:c r="J18" i="11"/>
  <x:c r="J19" i="11"/>
  <x:c r="J22" i="11"/>
  <x:c r="J23" i="11"/>
  <x:c r="C28" i="11"/>
  <x:c r="J5" i="12"/>
  <x:c r="J6" i="12"/>
  <x:c r="J7" i="12"/>
  <x:c r="D8" i="12"/>
  <x:c r="F8" i="12"/>
  <x:c r="H8" i="12"/>
  <x:c r="J8" i="12"/>
  <x:c r="J9" i="12"/>
  <x:c r="J12" i="12"/>
  <x:c r="J13" i="12"/>
  <x:c r="J14" i="12"/>
  <x:c r="D15" i="12"/>
  <x:c r="F15" i="12"/>
  <x:c r="H15" i="12"/>
  <x:c r="J15" i="12"/>
  <x:c r="J18" i="12"/>
  <x:c r="J19" i="12"/>
  <x:c r="J22" i="12"/>
  <x:c r="J23" i="12"/>
  <x:c r="C28" i="12"/>
  <x:c r="J5" i="13"/>
  <x:c r="J6" i="13"/>
  <x:c r="J7" i="13"/>
  <x:c r="D8" i="13"/>
  <x:c r="F8" i="13"/>
  <x:c r="H8" i="13"/>
  <x:c r="J8" i="13"/>
  <x:c r="J9" i="13"/>
  <x:c r="J12" i="13"/>
  <x:c r="J13" i="13"/>
  <x:c r="J14" i="13"/>
  <x:c r="D15" i="13"/>
  <x:c r="F15" i="13"/>
  <x:c r="H15" i="13"/>
  <x:c r="J15" i="13"/>
  <x:c r="J18" i="13"/>
  <x:c r="J19" i="13"/>
  <x:c r="J22" i="13"/>
  <x:c r="J23" i="13"/>
  <x:c r="C28" i="13"/>
  <x:c r="J5" i="14"/>
  <x:c r="J6" i="14"/>
  <x:c r="J7" i="14"/>
  <x:c r="D8" i="14"/>
  <x:c r="F8" i="14"/>
  <x:c r="H8" i="14"/>
  <x:c r="J8" i="14"/>
  <x:c r="J9" i="14"/>
  <x:c r="J12" i="14"/>
  <x:c r="J13" i="14"/>
  <x:c r="J14" i="14"/>
  <x:c r="D15" i="14"/>
  <x:c r="F15" i="14"/>
  <x:c r="H15" i="14"/>
  <x:c r="J15" i="14"/>
  <x:c r="J18" i="14"/>
  <x:c r="J19" i="14"/>
  <x:c r="J22" i="14"/>
  <x:c r="J23" i="14"/>
  <x:c r="C28" i="14"/>
  <x:c r="J5" i="15"/>
  <x:c r="J6" i="15"/>
  <x:c r="J7" i="15"/>
  <x:c r="D8" i="15"/>
  <x:c r="F8" i="15"/>
  <x:c r="H8" i="15"/>
  <x:c r="J8" i="15"/>
  <x:c r="J9" i="15"/>
  <x:c r="J12" i="15"/>
  <x:c r="J13" i="15"/>
  <x:c r="J14" i="15"/>
  <x:c r="D15" i="15"/>
  <x:c r="F15" i="15"/>
  <x:c r="H15" i="15"/>
  <x:c r="J15" i="15"/>
  <x:c r="J18" i="15"/>
  <x:c r="J19" i="15"/>
  <x:c r="J22" i="15"/>
  <x:c r="J23" i="15"/>
  <x:c r="C28" i="15"/>
  <x:c r="J5" i="16"/>
  <x:c r="J6" i="16"/>
  <x:c r="J7" i="16"/>
  <x:c r="D8" i="16"/>
  <x:c r="F8" i="16"/>
  <x:c r="H8" i="16"/>
  <x:c r="J8" i="16"/>
  <x:c r="J9" i="16"/>
  <x:c r="J12" i="16"/>
  <x:c r="J13" i="16"/>
  <x:c r="J14" i="16"/>
  <x:c r="D15" i="16"/>
  <x:c r="F15" i="16"/>
  <x:c r="H15" i="16"/>
  <x:c r="J15" i="16"/>
  <x:c r="J18" i="16"/>
  <x:c r="J19" i="16"/>
  <x:c r="J22" i="16"/>
  <x:c r="J23" i="16"/>
  <x:c r="C28" i="16"/>
  <x:c r="J5" i="17"/>
  <x:c r="J6" i="17"/>
  <x:c r="J7" i="17"/>
  <x:c r="D8" i="17"/>
  <x:c r="F8" i="17"/>
  <x:c r="H8" i="17"/>
  <x:c r="J8" i="17"/>
  <x:c r="J9" i="17"/>
  <x:c r="J12" i="17"/>
  <x:c r="J13" i="17"/>
  <x:c r="J14" i="17"/>
  <x:c r="D15" i="17"/>
  <x:c r="F15" i="17"/>
  <x:c r="H15" i="17"/>
  <x:c r="J15" i="17"/>
  <x:c r="J18" i="17"/>
  <x:c r="J19" i="17"/>
  <x:c r="J22" i="17"/>
  <x:c r="J23" i="17"/>
  <x:c r="C28" i="17"/>
  <x:c r="J5" i="18"/>
  <x:c r="J6" i="18"/>
  <x:c r="J7" i="18"/>
  <x:c r="D8" i="18"/>
  <x:c r="F8" i="18"/>
  <x:c r="H8" i="18"/>
  <x:c r="J8" i="18"/>
  <x:c r="J9" i="18"/>
  <x:c r="J12" i="18"/>
  <x:c r="J13" i="18"/>
  <x:c r="J14" i="18"/>
  <x:c r="D15" i="18"/>
  <x:c r="F15" i="18"/>
  <x:c r="H15" i="18"/>
  <x:c r="J15" i="18"/>
  <x:c r="J18" i="18"/>
  <x:c r="J19" i="18"/>
  <x:c r="J22" i="18"/>
  <x:c r="J23" i="18"/>
  <x:c r="C28" i="18"/>
  <x:c r="J5" i="19"/>
  <x:c r="J6" i="19"/>
  <x:c r="J7" i="19"/>
  <x:c r="D8" i="19"/>
  <x:c r="F8" i="19"/>
  <x:c r="H8" i="19"/>
  <x:c r="J8" i="19"/>
  <x:c r="J9" i="19"/>
  <x:c r="J12" i="19"/>
  <x:c r="J13" i="19"/>
  <x:c r="J14" i="19"/>
  <x:c r="D15" i="19"/>
  <x:c r="F15" i="19"/>
  <x:c r="H15" i="19"/>
  <x:c r="J15" i="19"/>
  <x:c r="J18" i="19"/>
  <x:c r="J19" i="19"/>
  <x:c r="J22" i="19"/>
  <x:c r="J23" i="19"/>
  <x:c r="C28" i="19"/>
  <x:c r="J5" i="20"/>
  <x:c r="J6" i="20"/>
  <x:c r="J7" i="20"/>
  <x:c r="D8" i="20"/>
  <x:c r="F8" i="20"/>
  <x:c r="H8" i="20"/>
  <x:c r="J8" i="20"/>
  <x:c r="J9" i="20"/>
  <x:c r="J12" i="20"/>
  <x:c r="J13" i="20"/>
  <x:c r="J14" i="20"/>
  <x:c r="D15" i="20"/>
  <x:c r="F15" i="20"/>
  <x:c r="H15" i="20"/>
  <x:c r="J15" i="20"/>
  <x:c r="J18" i="20"/>
  <x:c r="J19" i="20"/>
  <x:c r="J22" i="20"/>
  <x:c r="J23" i="20"/>
  <x:c r="C28" i="20"/>
  <x:c r="J5" i="21"/>
  <x:c r="J6" i="21"/>
  <x:c r="J7" i="21"/>
  <x:c r="D8" i="21"/>
  <x:c r="F8" i="21"/>
  <x:c r="H8" i="21"/>
  <x:c r="J8" i="21"/>
  <x:c r="J9" i="21"/>
  <x:c r="J12" i="21"/>
  <x:c r="J13" i="21"/>
  <x:c r="J14" i="21"/>
  <x:c r="D15" i="21"/>
  <x:c r="F15" i="21"/>
  <x:c r="H15" i="21"/>
  <x:c r="J15" i="21"/>
  <x:c r="J18" i="21"/>
  <x:c r="J19" i="21"/>
  <x:c r="J22" i="21"/>
  <x:c r="J23" i="21"/>
  <x:c r="C28" i="21"/>
  <x:c r="J5" i="22"/>
  <x:c r="J6" i="22"/>
  <x:c r="J7" i="22"/>
  <x:c r="D8" i="22"/>
  <x:c r="F8" i="22"/>
  <x:c r="H8" i="22"/>
  <x:c r="J8" i="22"/>
  <x:c r="J9" i="22"/>
  <x:c r="J12" i="22"/>
  <x:c r="J13" i="22"/>
  <x:c r="J14" i="22"/>
  <x:c r="D15" i="22"/>
  <x:c r="F15" i="22"/>
  <x:c r="H15" i="22"/>
  <x:c r="J15" i="22"/>
  <x:c r="J18" i="22"/>
  <x:c r="J19" i="22"/>
  <x:c r="J22" i="22"/>
  <x:c r="J23" i="22"/>
  <x:c r="C28" i="22"/>
  <x:c r="J5" i="23"/>
  <x:c r="J6" i="23"/>
  <x:c r="J7" i="23"/>
  <x:c r="D8" i="23"/>
  <x:c r="F8" i="23"/>
  <x:c r="H8" i="23"/>
  <x:c r="J8" i="23"/>
  <x:c r="J9" i="23"/>
  <x:c r="J12" i="23"/>
  <x:c r="J13" i="23"/>
  <x:c r="J14" i="23"/>
  <x:c r="D15" i="23"/>
  <x:c r="F15" i="23"/>
  <x:c r="H15" i="23"/>
  <x:c r="J15" i="23"/>
  <x:c r="J18" i="23"/>
  <x:c r="J19" i="23"/>
  <x:c r="J22" i="23"/>
  <x:c r="J23" i="23"/>
  <x:c r="C28" i="23"/>
  <x:c r="J5" i="24"/>
  <x:c r="J6" i="24"/>
  <x:c r="J7" i="24"/>
  <x:c r="D8" i="24"/>
  <x:c r="F8" i="24"/>
  <x:c r="H8" i="24"/>
  <x:c r="J8" i="24"/>
  <x:c r="J9" i="24"/>
  <x:c r="J12" i="24"/>
  <x:c r="J13" i="24"/>
  <x:c r="J14" i="24"/>
  <x:c r="D15" i="24"/>
  <x:c r="F15" i="24"/>
  <x:c r="H15" i="24"/>
  <x:c r="J15" i="24"/>
  <x:c r="J18" i="24"/>
  <x:c r="J19" i="24"/>
  <x:c r="J22" i="24"/>
  <x:c r="J23" i="24"/>
  <x:c r="C28" i="24"/>
  <x:c r="J5" i="25"/>
  <x:c r="J6" i="25"/>
  <x:c r="J7" i="25"/>
  <x:c r="D8" i="25"/>
  <x:c r="F8" i="25"/>
  <x:c r="H8" i="25"/>
  <x:c r="J8" i="25"/>
  <x:c r="J9" i="25"/>
  <x:c r="J12" i="25"/>
  <x:c r="J13" i="25"/>
  <x:c r="J14" i="25"/>
  <x:c r="D15" i="25"/>
  <x:c r="F15" i="25"/>
  <x:c r="H15" i="25"/>
  <x:c r="J15" i="25"/>
  <x:c r="J18" i="25"/>
  <x:c r="J19" i="25"/>
  <x:c r="J22" i="25"/>
  <x:c r="J23" i="25"/>
  <x:c r="C28" i="25"/>
  <x:c r="J5" i="26"/>
  <x:c r="J6" i="26"/>
  <x:c r="J7" i="26"/>
  <x:c r="D8" i="26"/>
  <x:c r="F8" i="26"/>
  <x:c r="H8" i="26"/>
  <x:c r="J8" i="26"/>
  <x:c r="J9" i="26"/>
  <x:c r="J12" i="26"/>
  <x:c r="J13" i="26"/>
  <x:c r="J14" i="26"/>
  <x:c r="D15" i="26"/>
  <x:c r="F15" i="26"/>
  <x:c r="H15" i="26"/>
  <x:c r="J15" i="26"/>
  <x:c r="J18" i="26"/>
  <x:c r="J19" i="26"/>
  <x:c r="J22" i="26"/>
  <x:c r="J23" i="26"/>
  <x:c r="C28" i="26"/>
  <x:c r="J5" i="27"/>
  <x:c r="J6" i="27"/>
  <x:c r="J7" i="27"/>
  <x:c r="D8" i="27"/>
  <x:c r="F8" i="27"/>
  <x:c r="H8" i="27"/>
  <x:c r="J8" i="27"/>
  <x:c r="J9" i="27"/>
  <x:c r="J12" i="27"/>
  <x:c r="J13" i="27"/>
  <x:c r="J14" i="27"/>
  <x:c r="D15" i="27"/>
  <x:c r="F15" i="27"/>
  <x:c r="H15" i="27"/>
  <x:c r="J15" i="27"/>
  <x:c r="J18" i="27"/>
  <x:c r="J19" i="27"/>
  <x:c r="J22" i="27"/>
  <x:c r="J23" i="27"/>
  <x:c r="C28" i="27"/>
  <x:c r="J5" i="28"/>
  <x:c r="J6" i="28"/>
  <x:c r="J7" i="28"/>
  <x:c r="D8" i="28"/>
  <x:c r="F8" i="28"/>
  <x:c r="H8" i="28"/>
  <x:c r="J8" i="28"/>
  <x:c r="J9" i="28"/>
  <x:c r="J12" i="28"/>
  <x:c r="J13" i="28"/>
  <x:c r="J14" i="28"/>
  <x:c r="D15" i="28"/>
  <x:c r="F15" i="28"/>
  <x:c r="H15" i="28"/>
  <x:c r="J15" i="28"/>
  <x:c r="J18" i="28"/>
  <x:c r="J19" i="28"/>
  <x:c r="J22" i="28"/>
  <x:c r="J23" i="28"/>
  <x:c r="C28" i="28"/>
  <x:c r="J5" i="29"/>
  <x:c r="J6" i="29"/>
  <x:c r="J7" i="29"/>
  <x:c r="D8" i="29"/>
  <x:c r="F8" i="29"/>
  <x:c r="H8" i="29"/>
  <x:c r="J8" i="29"/>
  <x:c r="J9" i="29"/>
  <x:c r="J12" i="29"/>
  <x:c r="J13" i="29"/>
  <x:c r="J14" i="29"/>
  <x:c r="D15" i="29"/>
  <x:c r="F15" i="29"/>
  <x:c r="H15" i="29"/>
  <x:c r="J15" i="29"/>
  <x:c r="J18" i="29"/>
  <x:c r="J19" i="29"/>
  <x:c r="J22" i="29"/>
  <x:c r="J23" i="29"/>
  <x:c r="C28" i="29"/>
  <x:c r="J5" i="30"/>
  <x:c r="J6" i="30"/>
  <x:c r="J7" i="30"/>
  <x:c r="D8" i="30"/>
  <x:c r="F8" i="30"/>
  <x:c r="H8" i="30"/>
  <x:c r="J8" i="30"/>
  <x:c r="J9" i="30"/>
  <x:c r="J12" i="30"/>
  <x:c r="J13" i="30"/>
  <x:c r="J14" i="30"/>
  <x:c r="D15" i="30"/>
  <x:c r="F15" i="30"/>
  <x:c r="H15" i="30"/>
  <x:c r="J15" i="30"/>
  <x:c r="J18" i="30"/>
  <x:c r="J19" i="30"/>
  <x:c r="J22" i="30"/>
  <x:c r="J23" i="30"/>
  <x:c r="C28" i="30"/>
  <x:c r="J5" i="31"/>
  <x:c r="J6" i="31"/>
  <x:c r="J7" i="31"/>
  <x:c r="D8" i="31"/>
  <x:c r="F8" i="31"/>
  <x:c r="H8" i="31"/>
  <x:c r="J8" i="31"/>
  <x:c r="J9" i="31"/>
  <x:c r="J12" i="31"/>
  <x:c r="J13" i="31"/>
  <x:c r="J14" i="31"/>
  <x:c r="D15" i="31"/>
  <x:c r="F15" i="31"/>
  <x:c r="H15" i="31"/>
  <x:c r="J15" i="31"/>
  <x:c r="J18" i="31"/>
  <x:c r="J19" i="31"/>
  <x:c r="J22" i="31"/>
  <x:c r="J23" i="31"/>
  <x:c r="C28" i="31"/>
  <x:c r="J5" i="32"/>
  <x:c r="J6" i="32"/>
  <x:c r="J7" i="32"/>
  <x:c r="D8" i="32"/>
  <x:c r="F8" i="32"/>
  <x:c r="H8" i="32"/>
  <x:c r="J8" i="32"/>
  <x:c r="J9" i="32"/>
  <x:c r="J12" i="32"/>
  <x:c r="J13" i="32"/>
  <x:c r="J14" i="32"/>
  <x:c r="D15" i="32"/>
  <x:c r="F15" i="32"/>
  <x:c r="H15" i="32"/>
  <x:c r="J15" i="32"/>
  <x:c r="J18" i="32"/>
  <x:c r="J19" i="32"/>
  <x:c r="J22" i="32"/>
  <x:c r="J23" i="32"/>
  <x:c r="C28" i="32"/>
  <x:c r="J5" i="33"/>
  <x:c r="J6" i="33"/>
  <x:c r="J7" i="33"/>
  <x:c r="D8" i="33"/>
  <x:c r="F8" i="33"/>
  <x:c r="H8" i="33"/>
  <x:c r="J8" i="33"/>
  <x:c r="J9" i="33"/>
  <x:c r="J12" i="33"/>
  <x:c r="J13" i="33"/>
  <x:c r="J14" i="33"/>
  <x:c r="D15" i="33"/>
  <x:c r="F15" i="33"/>
  <x:c r="H15" i="33"/>
  <x:c r="J15" i="33"/>
  <x:c r="J18" i="33"/>
  <x:c r="J19" i="33"/>
  <x:c r="J22" i="33"/>
  <x:c r="J23" i="33"/>
  <x:c r="C28" i="33"/>
  <x:c r="J5" i="34"/>
  <x:c r="J6" i="34"/>
  <x:c r="J7" i="34"/>
  <x:c r="D8" i="34"/>
  <x:c r="F8" i="34"/>
  <x:c r="H8" i="34"/>
  <x:c r="J8" i="34"/>
  <x:c r="J9" i="34"/>
  <x:c r="J12" i="34"/>
  <x:c r="J13" i="34"/>
  <x:c r="J14" i="34"/>
  <x:c r="D15" i="34"/>
  <x:c r="F15" i="34"/>
  <x:c r="H15" i="34"/>
  <x:c r="J15" i="34"/>
  <x:c r="J18" i="34"/>
  <x:c r="J19" i="34"/>
  <x:c r="J22" i="34"/>
  <x:c r="J23" i="34"/>
  <x:c r="C28" i="34"/>
  <x:c r="J5" i="35"/>
  <x:c r="J6" i="35"/>
  <x:c r="J7" i="35"/>
  <x:c r="D8" i="35"/>
  <x:c r="F8" i="35"/>
  <x:c r="H8" i="35"/>
  <x:c r="J8" i="35"/>
  <x:c r="J9" i="35"/>
  <x:c r="J12" i="35"/>
  <x:c r="J13" i="35"/>
  <x:c r="J14" i="35"/>
  <x:c r="D15" i="35"/>
  <x:c r="F15" i="35"/>
  <x:c r="H15" i="35"/>
  <x:c r="J15" i="35"/>
  <x:c r="J18" i="35"/>
  <x:c r="J19" i="35"/>
  <x:c r="J22" i="35"/>
  <x:c r="J23" i="35"/>
  <x:c r="C28" i="35"/>
  <x:c r="J5" i="36"/>
  <x:c r="J6" i="36"/>
  <x:c r="J7" i="36"/>
  <x:c r="D8" i="36"/>
  <x:c r="F8" i="36"/>
  <x:c r="H8" i="36"/>
  <x:c r="J8" i="36"/>
  <x:c r="J9" i="36"/>
  <x:c r="J12" i="36"/>
  <x:c r="J13" i="36"/>
  <x:c r="J14" i="36"/>
  <x:c r="D15" i="36"/>
  <x:c r="F15" i="36"/>
  <x:c r="H15" i="36"/>
  <x:c r="J15" i="36"/>
  <x:c r="J18" i="36"/>
  <x:c r="J19" i="36"/>
  <x:c r="J22" i="36"/>
  <x:c r="J23" i="36"/>
  <x:c r="C28" i="36"/>
  <x:c r="J5" i="37"/>
  <x:c r="J6" i="37"/>
  <x:c r="J7" i="37"/>
  <x:c r="D8" i="37"/>
  <x:c r="F8" i="37"/>
  <x:c r="H8" i="37"/>
  <x:c r="J8" i="37"/>
  <x:c r="J9" i="37"/>
  <x:c r="J12" i="37"/>
  <x:c r="J13" i="37"/>
  <x:c r="J14" i="37"/>
  <x:c r="D15" i="37"/>
  <x:c r="F15" i="37"/>
  <x:c r="H15" i="37"/>
  <x:c r="J15" i="37"/>
  <x:c r="J18" i="37"/>
  <x:c r="J19" i="37"/>
  <x:c r="J22" i="37"/>
  <x:c r="J23" i="37"/>
  <x:c r="C28" i="37"/>
  <x:c r="J5" i="38"/>
  <x:c r="J6" i="38"/>
  <x:c r="J7" i="38"/>
  <x:c r="D8" i="38"/>
  <x:c r="F8" i="38"/>
  <x:c r="H8" i="38"/>
  <x:c r="J8" i="38"/>
  <x:c r="J9" i="38"/>
  <x:c r="J12" i="38"/>
  <x:c r="J13" i="38"/>
  <x:c r="J14" i="38"/>
  <x:c r="D15" i="38"/>
  <x:c r="F15" i="38"/>
  <x:c r="H15" i="38"/>
  <x:c r="J15" i="38"/>
  <x:c r="J18" i="38"/>
  <x:c r="J19" i="38"/>
  <x:c r="J22" i="38"/>
  <x:c r="J23" i="38"/>
  <x:c r="C28" i="38"/>
  <x:c r="J5" i="39"/>
  <x:c r="J6" i="39"/>
  <x:c r="J7" i="39"/>
  <x:c r="D8" i="39"/>
  <x:c r="F8" i="39"/>
  <x:c r="H8" i="39"/>
  <x:c r="J8" i="39"/>
  <x:c r="J9" i="39"/>
  <x:c r="J12" i="39"/>
  <x:c r="J13" i="39"/>
  <x:c r="J14" i="39"/>
  <x:c r="D15" i="39"/>
  <x:c r="F15" i="39"/>
  <x:c r="H15" i="39"/>
  <x:c r="J15" i="39"/>
  <x:c r="J18" i="39"/>
  <x:c r="J19" i="39"/>
  <x:c r="J22" i="39"/>
  <x:c r="J23" i="39"/>
  <x:c r="C28" i="39"/>
  <x:c r="J5" i="40"/>
  <x:c r="J6" i="40"/>
  <x:c r="J7" i="40"/>
  <x:c r="D8" i="40"/>
  <x:c r="F8" i="40"/>
  <x:c r="H8" i="40"/>
  <x:c r="J8" i="40"/>
  <x:c r="J9" i="40"/>
  <x:c r="J12" i="40"/>
  <x:c r="J13" i="40"/>
  <x:c r="J14" i="40"/>
  <x:c r="D15" i="40"/>
  <x:c r="F15" i="40"/>
  <x:c r="H15" i="40"/>
  <x:c r="J15" i="40"/>
  <x:c r="J18" i="40"/>
  <x:c r="J19" i="40"/>
  <x:c r="J22" i="40"/>
  <x:c r="J23" i="40"/>
  <x:c r="C28" i="40"/>
  <x:c r="J5" i="41"/>
  <x:c r="J6" i="41"/>
  <x:c r="J7" i="41"/>
  <x:c r="D8" i="41"/>
  <x:c r="F8" i="41"/>
  <x:c r="H8" i="41"/>
  <x:c r="J8" i="41"/>
  <x:c r="J9" i="41"/>
  <x:c r="J12" i="41"/>
  <x:c r="J13" i="41"/>
  <x:c r="J14" i="41"/>
  <x:c r="D15" i="41"/>
  <x:c r="F15" i="41"/>
  <x:c r="H15" i="41"/>
  <x:c r="J15" i="41"/>
  <x:c r="J18" i="41"/>
  <x:c r="J19" i="41"/>
  <x:c r="J22" i="41"/>
  <x:c r="J23" i="41"/>
  <x:c r="C28" i="41"/>
  <x:c r="J5" i="42"/>
  <x:c r="J6" i="42"/>
  <x:c r="J7" i="42"/>
  <x:c r="D8" i="42"/>
  <x:c r="F8" i="42"/>
  <x:c r="H8" i="42"/>
  <x:c r="J8" i="42"/>
  <x:c r="J9" i="42"/>
  <x:c r="J12" i="42"/>
  <x:c r="J13" i="42"/>
  <x:c r="J14" i="42"/>
  <x:c r="D15" i="42"/>
  <x:c r="F15" i="42"/>
  <x:c r="H15" i="42"/>
  <x:c r="J15" i="42"/>
  <x:c r="J18" i="42"/>
  <x:c r="J19" i="42"/>
  <x:c r="J22" i="42"/>
  <x:c r="J23" i="42"/>
  <x:c r="C28" i="42"/>
  <x:c r="J5" i="43"/>
  <x:c r="J6" i="43"/>
  <x:c r="J7" i="43"/>
  <x:c r="D8" i="43"/>
  <x:c r="F8" i="43"/>
  <x:c r="H8" i="43"/>
  <x:c r="J8" i="43"/>
  <x:c r="J9" i="43"/>
  <x:c r="J12" i="43"/>
  <x:c r="J13" i="43"/>
  <x:c r="J14" i="43"/>
  <x:c r="D15" i="43"/>
  <x:c r="F15" i="43"/>
  <x:c r="H15" i="43"/>
  <x:c r="J15" i="43"/>
  <x:c r="J18" i="43"/>
  <x:c r="J19" i="43"/>
  <x:c r="J22" i="43"/>
  <x:c r="J23" i="43"/>
  <x:c r="C28" i="43"/>
  <x:c r="J5" i="44"/>
  <x:c r="J6" i="44"/>
  <x:c r="J7" i="44"/>
  <x:c r="D8" i="44"/>
  <x:c r="F8" i="44"/>
  <x:c r="H8" i="44"/>
  <x:c r="J8" i="44"/>
  <x:c r="J9" i="44"/>
  <x:c r="J12" i="44"/>
  <x:c r="J13" i="44"/>
  <x:c r="J14" i="44"/>
  <x:c r="D15" i="44"/>
  <x:c r="F15" i="44"/>
  <x:c r="H15" i="44"/>
  <x:c r="J15" i="44"/>
  <x:c r="J18" i="44"/>
  <x:c r="J19" i="44"/>
  <x:c r="J22" i="44"/>
  <x:c r="J23" i="44"/>
  <x:c r="C28" i="44"/>
  <x:c r="J5" i="45"/>
  <x:c r="J6" i="45"/>
  <x:c r="J7" i="45"/>
  <x:c r="D8" i="45"/>
  <x:c r="F8" i="45"/>
  <x:c r="H8" i="45"/>
  <x:c r="J8" i="45"/>
  <x:c r="J9" i="45"/>
  <x:c r="J12" i="45"/>
  <x:c r="J13" i="45"/>
  <x:c r="J14" i="45"/>
  <x:c r="D15" i="45"/>
  <x:c r="F15" i="45"/>
  <x:c r="H15" i="45"/>
  <x:c r="J15" i="45"/>
  <x:c r="J18" i="45"/>
  <x:c r="J19" i="45"/>
  <x:c r="J22" i="45"/>
  <x:c r="J23" i="45"/>
  <x:c r="C28" i="45"/>
  <x:c r="J5" i="46"/>
  <x:c r="J6" i="46"/>
  <x:c r="J7" i="46"/>
  <x:c r="D8" i="46"/>
  <x:c r="F8" i="46"/>
  <x:c r="H8" i="46"/>
  <x:c r="J8" i="46"/>
  <x:c r="J9" i="46"/>
  <x:c r="J12" i="46"/>
  <x:c r="J13" i="46"/>
  <x:c r="J14" i="46"/>
  <x:c r="D15" i="46"/>
  <x:c r="F15" i="46"/>
  <x:c r="H15" i="46"/>
  <x:c r="J15" i="46"/>
  <x:c r="J18" i="46"/>
  <x:c r="J19" i="46"/>
  <x:c r="J22" i="46"/>
  <x:c r="J23" i="46"/>
  <x:c r="C28" i="46"/>
  <x:c r="J5" i="47"/>
  <x:c r="J6" i="47"/>
  <x:c r="J7" i="47"/>
  <x:c r="D8" i="47"/>
  <x:c r="F8" i="47"/>
  <x:c r="H8" i="47"/>
  <x:c r="J8" i="47"/>
  <x:c r="J9" i="47"/>
  <x:c r="J12" i="47"/>
  <x:c r="J13" i="47"/>
  <x:c r="J14" i="47"/>
  <x:c r="D15" i="47"/>
  <x:c r="F15" i="47"/>
  <x:c r="H15" i="47"/>
  <x:c r="J15" i="47"/>
  <x:c r="J18" i="47"/>
  <x:c r="J19" i="47"/>
  <x:c r="J22" i="47"/>
  <x:c r="J23" i="47"/>
  <x:c r="C28" i="47"/>
  <x:c r="J5" i="48"/>
  <x:c r="J6" i="48"/>
  <x:c r="J7" i="48"/>
  <x:c r="D8" i="48"/>
  <x:c r="F8" i="48"/>
  <x:c r="H8" i="48"/>
  <x:c r="J8" i="48"/>
  <x:c r="J9" i="48"/>
  <x:c r="J12" i="48"/>
  <x:c r="J13" i="48"/>
  <x:c r="J14" i="48"/>
  <x:c r="D15" i="48"/>
  <x:c r="F15" i="48"/>
  <x:c r="H15" i="48"/>
  <x:c r="J15" i="48"/>
  <x:c r="J18" i="48"/>
  <x:c r="J19" i="48"/>
  <x:c r="J22" i="48"/>
  <x:c r="J23" i="48"/>
  <x:c r="C28" i="48"/>
  <x:c r="J5" i="49"/>
  <x:c r="J6" i="49"/>
  <x:c r="J7" i="49"/>
  <x:c r="D8" i="49"/>
  <x:c r="F8" i="49"/>
  <x:c r="H8" i="49"/>
  <x:c r="J8" i="49"/>
  <x:c r="J9" i="49"/>
  <x:c r="J12" i="49"/>
  <x:c r="J13" i="49"/>
  <x:c r="J14" i="49"/>
  <x:c r="D15" i="49"/>
  <x:c r="F15" i="49"/>
  <x:c r="H15" i="49"/>
  <x:c r="J15" i="49"/>
  <x:c r="J18" i="49"/>
  <x:c r="J19" i="49"/>
  <x:c r="J22" i="49"/>
  <x:c r="J23" i="49"/>
  <x:c r="C28" i="49"/>
  <x:c r="J5" i="50"/>
  <x:c r="J6" i="50"/>
  <x:c r="J7" i="50"/>
  <x:c r="D8" i="50"/>
  <x:c r="F8" i="50"/>
  <x:c r="H8" i="50"/>
  <x:c r="J8" i="50"/>
  <x:c r="J9" i="50"/>
  <x:c r="J12" i="50"/>
  <x:c r="J13" i="50"/>
  <x:c r="J14" i="50"/>
  <x:c r="D15" i="50"/>
  <x:c r="F15" i="50"/>
  <x:c r="H15" i="50"/>
  <x:c r="J15" i="50"/>
  <x:c r="J18" i="50"/>
  <x:c r="J19" i="50"/>
  <x:c r="J22" i="50"/>
  <x:c r="J23" i="50"/>
  <x:c r="C28" i="50"/>
  <x:c r="J5" i="51"/>
  <x:c r="J6" i="51"/>
  <x:c r="J7" i="51"/>
  <x:c r="D8" i="51"/>
  <x:c r="F8" i="51"/>
  <x:c r="H8" i="51"/>
  <x:c r="J8" i="51"/>
  <x:c r="J9" i="51"/>
  <x:c r="J12" i="51"/>
  <x:c r="J13" i="51"/>
  <x:c r="J14" i="51"/>
  <x:c r="D15" i="51"/>
  <x:c r="F15" i="51"/>
  <x:c r="H15" i="51"/>
  <x:c r="J15" i="51"/>
  <x:c r="J18" i="51"/>
  <x:c r="J19" i="51"/>
  <x:c r="J22" i="51"/>
  <x:c r="J23" i="51"/>
  <x:c r="C28" i="51"/>
  <x:c r="J5" i="52"/>
  <x:c r="J6" i="52"/>
  <x:c r="J7" i="52"/>
  <x:c r="D8" i="52"/>
  <x:c r="F8" i="52"/>
  <x:c r="H8" i="52"/>
  <x:c r="J8" i="52"/>
  <x:c r="J9" i="52"/>
  <x:c r="J12" i="52"/>
  <x:c r="J13" i="52"/>
  <x:c r="J14" i="52"/>
  <x:c r="D15" i="52"/>
  <x:c r="F15" i="52"/>
  <x:c r="H15" i="52"/>
  <x:c r="J15" i="52"/>
  <x:c r="J18" i="52"/>
  <x:c r="J19" i="52"/>
  <x:c r="J22" i="52"/>
  <x:c r="J23" i="52"/>
  <x:c r="C28" i="52"/>
  <x:c r="J5" i="53"/>
  <x:c r="J6" i="53"/>
  <x:c r="J7" i="53"/>
  <x:c r="D8" i="53"/>
  <x:c r="F8" i="53"/>
  <x:c r="H8" i="53"/>
  <x:c r="J8" i="53"/>
  <x:c r="J9" i="53"/>
  <x:c r="J12" i="53"/>
  <x:c r="J13" i="53"/>
  <x:c r="J14" i="53"/>
  <x:c r="D15" i="53"/>
  <x:c r="F15" i="53"/>
  <x:c r="H15" i="53"/>
  <x:c r="J15" i="53"/>
  <x:c r="J18" i="53"/>
  <x:c r="J19" i="53"/>
  <x:c r="J22" i="53"/>
  <x:c r="J23" i="53"/>
  <x:c r="C28" i="53"/>
  <x:c r="J5" i="54"/>
  <x:c r="J6" i="54"/>
  <x:c r="J7" i="54"/>
  <x:c r="D8" i="54"/>
  <x:c r="F8" i="54"/>
  <x:c r="H8" i="54"/>
  <x:c r="J8" i="54"/>
  <x:c r="J9" i="54"/>
  <x:c r="J12" i="54"/>
  <x:c r="J13" i="54"/>
  <x:c r="J14" i="54"/>
  <x:c r="D15" i="54"/>
  <x:c r="F15" i="54"/>
  <x:c r="H15" i="54"/>
  <x:c r="J15" i="54"/>
  <x:c r="J18" i="54"/>
  <x:c r="J19" i="54"/>
  <x:c r="J22" i="54"/>
  <x:c r="J23" i="54"/>
  <x:c r="C28" i="54"/>
  <x:c r="J5" i="55"/>
  <x:c r="J6" i="55"/>
  <x:c r="J7" i="55"/>
  <x:c r="D8" i="55"/>
  <x:c r="F8" i="55"/>
  <x:c r="H8" i="55"/>
  <x:c r="J8" i="55"/>
  <x:c r="J9" i="55"/>
  <x:c r="J12" i="55"/>
  <x:c r="J13" i="55"/>
  <x:c r="J14" i="55"/>
  <x:c r="D15" i="55"/>
  <x:c r="F15" i="55"/>
  <x:c r="H15" i="55"/>
  <x:c r="J15" i="55"/>
  <x:c r="J18" i="55"/>
  <x:c r="J19" i="55"/>
  <x:c r="J22" i="55"/>
  <x:c r="J23" i="55"/>
  <x:c r="C28" i="55"/>
  <x:c r="J5" i="56"/>
  <x:c r="J6" i="56"/>
  <x:c r="J7" i="56"/>
  <x:c r="D8" i="56"/>
  <x:c r="F8" i="56"/>
  <x:c r="H8" i="56"/>
  <x:c r="J8" i="56"/>
  <x:c r="J9" i="56"/>
  <x:c r="J12" i="56"/>
  <x:c r="J13" i="56"/>
  <x:c r="J14" i="56"/>
  <x:c r="D15" i="56"/>
  <x:c r="F15" i="56"/>
  <x:c r="H15" i="56"/>
  <x:c r="J15" i="56"/>
  <x:c r="J18" i="56"/>
  <x:c r="J19" i="56"/>
  <x:c r="J22" i="56"/>
  <x:c r="J23" i="56"/>
  <x:c r="C28" i="56"/>
  <x:c r="J5" i="57"/>
  <x:c r="J6" i="57"/>
  <x:c r="J7" i="57"/>
  <x:c r="D8" i="57"/>
  <x:c r="F8" i="57"/>
  <x:c r="H8" i="57"/>
  <x:c r="J8" i="57"/>
  <x:c r="J9" i="57"/>
  <x:c r="J12" i="57"/>
  <x:c r="J13" i="57"/>
  <x:c r="J14" i="57"/>
  <x:c r="D15" i="57"/>
  <x:c r="F15" i="57"/>
  <x:c r="H15" i="57"/>
  <x:c r="J15" i="57"/>
  <x:c r="J18" i="57"/>
  <x:c r="J19" i="57"/>
  <x:c r="J22" i="57"/>
  <x:c r="J23" i="57"/>
  <x:c r="C28" i="57"/>
  <x:c r="J5" i="58"/>
  <x:c r="J6" i="58"/>
  <x:c r="J7" i="58"/>
  <x:c r="D8" i="58"/>
  <x:c r="F8" i="58"/>
  <x:c r="H8" i="58"/>
  <x:c r="J8" i="58"/>
  <x:c r="J9" i="58"/>
  <x:c r="J12" i="58"/>
  <x:c r="J13" i="58"/>
  <x:c r="J14" i="58"/>
  <x:c r="D15" i="58"/>
  <x:c r="F15" i="58"/>
  <x:c r="H15" i="58"/>
  <x:c r="J15" i="58"/>
  <x:c r="J18" i="58"/>
  <x:c r="J19" i="58"/>
  <x:c r="J22" i="58"/>
  <x:c r="J23" i="58"/>
  <x:c r="C28" i="58"/>
  <x:c r="J5" i="59"/>
  <x:c r="J6" i="59"/>
  <x:c r="J7" i="59"/>
  <x:c r="D8" i="59"/>
  <x:c r="F8" i="59"/>
  <x:c r="H8" i="59"/>
  <x:c r="J8" i="59"/>
  <x:c r="J9" i="59"/>
  <x:c r="J12" i="59"/>
  <x:c r="J13" i="59"/>
  <x:c r="J14" i="59"/>
  <x:c r="D15" i="59"/>
  <x:c r="F15" i="59"/>
  <x:c r="H15" i="59"/>
  <x:c r="J15" i="59"/>
  <x:c r="J18" i="59"/>
  <x:c r="J19" i="59"/>
  <x:c r="J22" i="59"/>
  <x:c r="J23" i="59"/>
  <x:c r="C28" i="59"/>
  <x:c r="J5" i="60"/>
  <x:c r="J6" i="60"/>
  <x:c r="J7" i="60"/>
  <x:c r="D8" i="60"/>
  <x:c r="F8" i="60"/>
  <x:c r="H8" i="60"/>
  <x:c r="J8" i="60"/>
  <x:c r="J9" i="60"/>
  <x:c r="J12" i="60"/>
  <x:c r="J13" i="60"/>
  <x:c r="J14" i="60"/>
  <x:c r="D15" i="60"/>
  <x:c r="F15" i="60"/>
  <x:c r="H15" i="60"/>
  <x:c r="J15" i="60"/>
  <x:c r="J18" i="60"/>
  <x:c r="J19" i="60"/>
  <x:c r="J22" i="60"/>
  <x:c r="J23" i="60"/>
  <x:c r="C28" i="60"/>
  <x:c r="J5" i="61"/>
  <x:c r="J6" i="61"/>
  <x:c r="J7" i="61"/>
  <x:c r="D8" i="61"/>
  <x:c r="F8" i="61"/>
  <x:c r="H8" i="61"/>
  <x:c r="J8" i="61"/>
  <x:c r="J9" i="61"/>
  <x:c r="J12" i="61"/>
  <x:c r="J13" i="61"/>
  <x:c r="J14" i="61"/>
  <x:c r="D15" i="61"/>
  <x:c r="F15" i="61"/>
  <x:c r="H15" i="61"/>
  <x:c r="J15" i="61"/>
  <x:c r="J18" i="61"/>
  <x:c r="J19" i="61"/>
  <x:c r="J22" i="61"/>
  <x:c r="J23" i="61"/>
  <x:c r="C28" i="61"/>
  <x:c r="J5" i="62"/>
  <x:c r="J6" i="62"/>
  <x:c r="J7" i="62"/>
  <x:c r="D8" i="62"/>
  <x:c r="F8" i="62"/>
  <x:c r="H8" i="62"/>
  <x:c r="J8" i="62"/>
  <x:c r="J9" i="62"/>
  <x:c r="J12" i="62"/>
  <x:c r="J13" i="62"/>
  <x:c r="J14" i="62"/>
  <x:c r="D15" i="62"/>
  <x:c r="F15" i="62"/>
  <x:c r="H15" i="62"/>
  <x:c r="J15" i="62"/>
  <x:c r="J18" i="62"/>
  <x:c r="J19" i="62"/>
  <x:c r="J22" i="62"/>
  <x:c r="J23" i="62"/>
  <x:c r="C28" i="62"/>
  <x:c r="J5" i="63"/>
  <x:c r="J6" i="63"/>
  <x:c r="J7" i="63"/>
  <x:c r="D8" i="63"/>
  <x:c r="F8" i="63"/>
  <x:c r="H8" i="63"/>
  <x:c r="J8" i="63"/>
  <x:c r="J9" i="63"/>
  <x:c r="J12" i="63"/>
  <x:c r="J13" i="63"/>
  <x:c r="J14" i="63"/>
  <x:c r="D15" i="63"/>
  <x:c r="F15" i="63"/>
  <x:c r="H15" i="63"/>
  <x:c r="J15" i="63"/>
  <x:c r="J18" i="63"/>
  <x:c r="J19" i="63"/>
  <x:c r="J22" i="63"/>
  <x:c r="J23" i="63"/>
  <x:c r="C28" i="63"/>
  <x:c r="J5" i="64"/>
  <x:c r="J6" i="64"/>
  <x:c r="J7" i="64"/>
  <x:c r="D8" i="64"/>
  <x:c r="F8" i="64"/>
  <x:c r="H8" i="64"/>
  <x:c r="J8" i="64"/>
  <x:c r="J9" i="64"/>
  <x:c r="J12" i="64"/>
  <x:c r="J13" i="64"/>
  <x:c r="J14" i="64"/>
  <x:c r="D15" i="64"/>
  <x:c r="F15" i="64"/>
  <x:c r="H15" i="64"/>
  <x:c r="J15" i="64"/>
  <x:c r="J18" i="64"/>
  <x:c r="J19" i="64"/>
  <x:c r="J22" i="64"/>
  <x:c r="J23" i="64"/>
  <x:c r="C28" i="64"/>
  <x:c r="J5" i="65"/>
  <x:c r="J6" i="65"/>
  <x:c r="J7" i="65"/>
  <x:c r="D8" i="65"/>
  <x:c r="F8" i="65"/>
  <x:c r="H8" i="65"/>
  <x:c r="J8" i="65"/>
  <x:c r="J9" i="65"/>
  <x:c r="J12" i="65"/>
  <x:c r="J13" i="65"/>
  <x:c r="J14" i="65"/>
  <x:c r="D15" i="65"/>
  <x:c r="F15" i="65"/>
  <x:c r="H15" i="65"/>
  <x:c r="J15" i="65"/>
  <x:c r="J18" i="65"/>
  <x:c r="J19" i="65"/>
  <x:c r="J22" i="65"/>
  <x:c r="J23" i="65"/>
  <x:c r="C28" i="65"/>
  <x:c r="J5" i="66"/>
  <x:c r="J6" i="66"/>
  <x:c r="J7" i="66"/>
  <x:c r="D8" i="66"/>
  <x:c r="F8" i="66"/>
  <x:c r="H8" i="66"/>
  <x:c r="J8" i="66"/>
  <x:c r="J9" i="66"/>
  <x:c r="J12" i="66"/>
  <x:c r="J13" i="66"/>
  <x:c r="J14" i="66"/>
  <x:c r="D15" i="66"/>
  <x:c r="F15" i="66"/>
  <x:c r="H15" i="66"/>
  <x:c r="J15" i="66"/>
  <x:c r="J18" i="66"/>
  <x:c r="J19" i="66"/>
  <x:c r="J22" i="66"/>
  <x:c r="J23" i="66"/>
  <x:c r="C28" i="66"/>
  <x:c r="J5" i="67"/>
  <x:c r="J6" i="67"/>
  <x:c r="J7" i="67"/>
  <x:c r="D8" i="67"/>
  <x:c r="F8" i="67"/>
  <x:c r="H8" i="67"/>
  <x:c r="J8" i="67"/>
  <x:c r="J9" i="67"/>
  <x:c r="J12" i="67"/>
  <x:c r="J13" i="67"/>
  <x:c r="J14" i="67"/>
  <x:c r="D15" i="67"/>
  <x:c r="F15" i="67"/>
  <x:c r="H15" i="67"/>
  <x:c r="J15" i="67"/>
  <x:c r="J18" i="67"/>
  <x:c r="J19" i="67"/>
  <x:c r="J22" i="67"/>
  <x:c r="J23" i="67"/>
  <x:c r="C28" i="67"/>
  <x:c r="J5" i="68"/>
  <x:c r="J6" i="68"/>
  <x:c r="J7" i="68"/>
  <x:c r="D8" i="68"/>
  <x:c r="F8" i="68"/>
  <x:c r="H8" i="68"/>
  <x:c r="J8" i="68"/>
  <x:c r="J9" i="68"/>
  <x:c r="J12" i="68"/>
  <x:c r="J13" i="68"/>
  <x:c r="J14" i="68"/>
  <x:c r="D15" i="68"/>
  <x:c r="F15" i="68"/>
  <x:c r="H15" i="68"/>
  <x:c r="J15" i="68"/>
  <x:c r="J18" i="68"/>
  <x:c r="J19" i="68"/>
  <x:c r="J22" i="68"/>
  <x:c r="J23" i="68"/>
  <x:c r="C28" i="68"/>
  <x:c r="J5" i="69"/>
  <x:c r="J6" i="69"/>
  <x:c r="J7" i="69"/>
  <x:c r="D8" i="69"/>
  <x:c r="F8" i="69"/>
  <x:c r="H8" i="69"/>
  <x:c r="J8" i="69"/>
  <x:c r="J9" i="69"/>
  <x:c r="J12" i="69"/>
  <x:c r="J13" i="69"/>
  <x:c r="J14" i="69"/>
  <x:c r="D15" i="69"/>
  <x:c r="F15" i="69"/>
  <x:c r="H15" i="69"/>
  <x:c r="J15" i="69"/>
  <x:c r="J18" i="69"/>
  <x:c r="J19" i="69"/>
  <x:c r="J22" i="69"/>
  <x:c r="J23" i="69"/>
  <x:c r="C28" i="69"/>
  <x:c r="J5" i="70"/>
  <x:c r="J6" i="70"/>
  <x:c r="J7" i="70"/>
  <x:c r="D8" i="70"/>
  <x:c r="F8" i="70"/>
  <x:c r="H8" i="70"/>
  <x:c r="J8" i="70"/>
  <x:c r="J9" i="70"/>
  <x:c r="J12" i="70"/>
  <x:c r="J13" i="70"/>
  <x:c r="J14" i="70"/>
  <x:c r="D15" i="70"/>
  <x:c r="F15" i="70"/>
  <x:c r="H15" i="70"/>
  <x:c r="J15" i="70"/>
  <x:c r="J18" i="70"/>
  <x:c r="J19" i="70"/>
  <x:c r="J22" i="70"/>
  <x:c r="J23" i="70"/>
  <x:c r="C28" i="70"/>
  <x:c r="J5" i="71"/>
  <x:c r="J6" i="71"/>
  <x:c r="J7" i="71"/>
  <x:c r="D8" i="71"/>
  <x:c r="F8" i="71"/>
  <x:c r="H8" i="71"/>
  <x:c r="J8" i="71"/>
  <x:c r="J9" i="71"/>
  <x:c r="J12" i="71"/>
  <x:c r="J13" i="71"/>
  <x:c r="J14" i="71"/>
  <x:c r="D15" i="71"/>
  <x:c r="F15" i="71"/>
  <x:c r="H15" i="71"/>
  <x:c r="J15" i="71"/>
  <x:c r="J18" i="71"/>
  <x:c r="J19" i="71"/>
  <x:c r="J22" i="71"/>
  <x:c r="J23" i="71"/>
  <x:c r="C28" i="71"/>
</x:calcChain>
</file>

<file path=xl/sharedStrings.xml><?xml version="1.0" encoding="utf-8"?>
<x:sst xmlns:x="http://schemas.openxmlformats.org/spreadsheetml/2006/main" count="253" uniqueCount="253">
  <x:si>
    <x:t>CONSTITUENCY DATA SUMMERY</x:t>
  </x:si>
  <x:si>
    <x:t>Constituency Name</x:t>
  </x:si>
  <x:si>
    <x:t>Purola</x:t>
  </x:si>
  <x:si>
    <x:t>CANDIDATES CATEGORY</x:t>
  </x:si>
  <x:si>
    <x:t>Men</x:t>
  </x:si>
  <x:si>
    <x:t>Woman</x:t>
  </x:si>
  <x:si>
    <x:t>Others</x:t>
  </x:si>
  <x:si>
    <x:t>Total</x:t>
  </x:si>
  <x:si>
    <x:t>Nomination Field</x:t>
  </x:si>
  <x:si>
    <x:t>Nomination Rejected</x:t>
  </x:si>
  <x:si>
    <x:t>Withdrawn</x:t>
  </x:si>
  <x:si>
    <x:t>Contested</x:t>
  </x:si>
  <x:si>
    <x:t>Forfeited Deposit</x:t>
  </x:si>
  <x:si>
    <x:t>ELECTORS</x:t>
  </x:si>
  <x:si>
    <x:t>General(other than OVERSEAS)</x:t>
  </x:si>
  <x:si>
    <x:t>OVERSEAS</x:t>
  </x:si>
  <x:si>
    <x:t>Service</x:t>
  </x:si>
  <x:si>
    <x:t>VOTERS</x:t>
  </x:si>
  <x:si>
    <x:t>Proxy(already included in |||.1 General )</x:t>
  </x:si>
  <x:si>
    <x:t>Postal</x:t>
  </x:si>
  <x:si>
    <x:t>POLLING PERCENTAGE</x:t>
  </x:si>
  <x:si>
    <x:t>VOTES</x:t>
  </x:si>
  <x:si>
    <x:t>Rejected Votes (Postal)</x:t>
  </x:si>
  <x:si>
    <x:t>Votes Not Retrieved From EVM</x:t>
  </x:si>
  <x:si>
    <x:t>Total Valid Votes polled</x:t>
  </x:si>
  <x:si>
    <x:t>Tendered Votes</x:t>
  </x:si>
  <x:si>
    <x:t>POLLING STATION</x:t>
  </x:si>
  <x:si>
    <x:t>Average Electors Per Polling Station</x:t>
  </x:si>
  <x:si>
    <x:t>Dates(s) of Re-Poll if Any</x:t>
  </x:si>
  <x:si>
    <x:t>Numbers of Polling Stations where Re-Poll was Order</x:t>
  </x:si>
  <x:si>
    <x:t>DATES</x:t>
  </x:si>
  <x:si>
    <x:t>Polling</x:t>
  </x:si>
  <x:si>
    <x:t>Counting</x:t>
  </x:si>
  <x:si>
    <x:t>Declartion Of Result</x:t>
  </x:si>
  <x:si>
    <x:t>RESULT</x:t>
  </x:si>
  <x:si>
    <x:t>Party</x:t>
  </x:si>
  <x:si>
    <x:t>Candidates</x:t>
  </x:si>
  <x:si>
    <x:t>Votes</x:t>
  </x:si>
  <x:si>
    <x:t>Winner</x:t>
  </x:si>
  <x:si>
    <x:t xml:space="preserve">INC       </x:t>
  </x:si>
  <x:si>
    <x:t>Rajkumar</x:t>
  </x:si>
  <x:si>
    <x:t>Runner-Up</x:t>
  </x:si>
  <x:si>
    <x:t xml:space="preserve">BJP       </x:t>
  </x:si>
  <x:si>
    <x:t>Malchand</x:t>
  </x:si>
  <x:si>
    <x:t>Margin</x:t>
  </x:si>
  <x:si>
    <x:t>Yamunotri</x:t>
  </x:si>
  <x:si>
    <x:t>Kedar Singh</x:t>
  </x:si>
  <x:si>
    <x:t>Sanjay Dobhal</x:t>
  </x:si>
  <x:si>
    <x:t>Gangotri</x:t>
  </x:si>
  <x:si>
    <x:t>Gopal Singh Rawat</x:t>
  </x:si>
  <x:si>
    <x:t>Vijaypal Singh Sajwan</x:t>
  </x:si>
  <x:si>
    <x:t>Badrinath</x:t>
  </x:si>
  <x:si>
    <x:t>Mahendra Bhatt</x:t>
  </x:si>
  <x:si>
    <x:t>Rajendra Singh Bhandari</x:t>
  </x:si>
  <x:si>
    <x:t>Tharali</x:t>
  </x:si>
  <x:si>
    <x:t>Magan Lal Shah</x:t>
  </x:si>
  <x:si>
    <x:t>Dr. Jeet Ram</x:t>
  </x:si>
  <x:si>
    <x:t>Karnprayag</x:t>
  </x:si>
  <x:si>
    <x:t>Surendra Singh Negi</x:t>
  </x:si>
  <x:si>
    <x:t>Dr. Ansuya Parsad Maikhuri</x:t>
  </x:si>
  <x:si>
    <x:t>Kedarnath</x:t>
  </x:si>
  <x:si>
    <x:t>Manoj Rawat</x:t>
  </x:si>
  <x:si>
    <x:t xml:space="preserve">IND       </x:t>
  </x:si>
  <x:si>
    <x:t>Kuldeep Singh Rawat</x:t>
  </x:si>
  <x:si>
    <x:t>Rudraprayag</x:t>
  </x:si>
  <x:si>
    <x:t>Bharat Singh</x:t>
  </x:si>
  <x:si>
    <x:t>Laxmi Singh Rana</x:t>
  </x:si>
  <x:si>
    <x:t>Ghanshali</x:t>
  </x:si>
  <x:si>
    <x:t>Shakti Lal Shah</x:t>
  </x:si>
  <x:si>
    <x:t>Dhanilal Shah</x:t>
  </x:si>
  <x:si>
    <x:t>Devprayag</x:t>
  </x:si>
  <x:si>
    <x:t>Vinod Kandari</x:t>
  </x:si>
  <x:si>
    <x:t>Diwakar Bhatt</x:t>
  </x:si>
  <x:si>
    <x:t>Narendranagar</x:t>
  </x:si>
  <x:si>
    <x:t>Subodh Uniyal</x:t>
  </x:si>
  <x:si>
    <x:t>Om Gopal Rawat</x:t>
  </x:si>
  <x:si>
    <x:t>Pratapnagar</x:t>
  </x:si>
  <x:si>
    <x:t>Vijay Singh Panwar(Guddu Bhai)</x:t>
  </x:si>
  <x:si>
    <x:t>Vikram Singh Negi</x:t>
  </x:si>
  <x:si>
    <x:t>Tehri</x:t>
  </x:si>
  <x:si>
    <x:t>Dhan Singh Negi</x:t>
  </x:si>
  <x:si>
    <x:t>Dinesh Dhanai</x:t>
  </x:si>
  <x:si>
    <x:t>Dhanolti</x:t>
  </x:si>
  <x:si>
    <x:t>Pritam Singh Panwar</x:t>
  </x:si>
  <x:si>
    <x:t>Narayan Singh Rana</x:t>
  </x:si>
  <x:si>
    <x:t>Chakrata</x:t>
  </x:si>
  <x:si>
    <x:t>Pritam Singh</x:t>
  </x:si>
  <x:si>
    <x:t>Madhu Chauhan</x:t>
  </x:si>
  <x:si>
    <x:t>Vikasnagar</x:t>
  </x:si>
  <x:si>
    <x:t>Munna Singh Chauhan</x:t>
  </x:si>
  <x:si>
    <x:t>Navprabhat</x:t>
  </x:si>
  <x:si>
    <x:t>Sahaspur</x:t>
  </x:si>
  <x:si>
    <x:t>Sahdev Singh Pundir</x:t>
  </x:si>
  <x:si>
    <x:t>Kishore Upadhaya</x:t>
  </x:si>
  <x:si>
    <x:t>Dharampur</x:t>
  </x:si>
  <x:si>
    <x:t>Vinod Chamoli</x:t>
  </x:si>
  <x:si>
    <x:t>Dinesh Agarwal</x:t>
  </x:si>
  <x:si>
    <x:t>Raipur</x:t>
  </x:si>
  <x:si>
    <x:t>Umesh Sharma Kau</x:t>
  </x:si>
  <x:si>
    <x:t>Prabhu Lal</x:t>
  </x:si>
  <x:si>
    <x:t>Rajpur Road</x:t>
  </x:si>
  <x:si>
    <x:t>Khajan Dass</x:t>
  </x:si>
  <x:si>
    <x:t>Raj Kumar</x:t>
  </x:si>
  <x:si>
    <x:t>Dehradun Cantt.</x:t>
  </x:si>
  <x:si>
    <x:t>Shri Harbans Kapoor</x:t>
  </x:si>
  <x:si>
    <x:t>Shri Suryakant Dhasmana</x:t>
  </x:si>
  <x:si>
    <x:t>Mussoorie</x:t>
  </x:si>
  <x:si>
    <x:t>Ganesh Joshi</x:t>
  </x:si>
  <x:si>
    <x:t>Godawari Thapli</x:t>
  </x:si>
  <x:si>
    <x:t>Doiwala</x:t>
  </x:si>
  <x:si>
    <x:t>Trivendra Singh Rawat</x:t>
  </x:si>
  <x:si>
    <x:t>Hira Singh Bisht</x:t>
  </x:si>
  <x:si>
    <x:t>Rishikesh</x:t>
  </x:si>
  <x:si>
    <x:t>Premchand Aggarwal</x:t>
  </x:si>
  <x:si>
    <x:t>Rajpal Singh Kharola</x:t>
  </x:si>
  <x:si>
    <x:t>Hardwar</x:t>
  </x:si>
  <x:si>
    <x:t>Madan Kaushik</x:t>
  </x:si>
  <x:si>
    <x:t>Brahmswroop Brahmchari</x:t>
  </x:si>
  <x:si>
    <x:t>B.H.E.L. ranipur</x:t>
  </x:si>
  <x:si>
    <x:t>Adesh Chauhan</x:t>
  </x:si>
  <x:si>
    <x:t>Ambrish Kumar</x:t>
  </x:si>
  <x:si>
    <x:t>Jwalapur</x:t>
  </x:si>
  <x:si>
    <x:t>Suresh Rathor</x:t>
  </x:si>
  <x:si>
    <x:t>S.P.Singh Engineer</x:t>
  </x:si>
  <x:si>
    <x:t>Bhagwanpur</x:t>
  </x:si>
  <x:si>
    <x:t>Mamta Rakesh</x:t>
  </x:si>
  <x:si>
    <x:t>Subodh Rakesh</x:t>
  </x:si>
  <x:si>
    <x:t>Jhabrera</x:t>
  </x:si>
  <x:si>
    <x:t>Desraj Karanwal</x:t>
  </x:si>
  <x:si>
    <x:t>Rajpal Singh</x:t>
  </x:si>
  <x:si>
    <x:t>Pirankaliyar</x:t>
  </x:si>
  <x:si>
    <x:t>Furkan Ahmad</x:t>
  </x:si>
  <x:si>
    <x:t>Jaibhagwan</x:t>
  </x:si>
  <x:si>
    <x:t>Roorkee</x:t>
  </x:si>
  <x:si>
    <x:t>Pradeep Batra</x:t>
  </x:si>
  <x:si>
    <x:t>Suresh Chand Jain</x:t>
  </x:si>
  <x:si>
    <x:t>Khanpur</x:t>
  </x:si>
  <x:si>
    <x:t>Kunwar Parnav Singh Champion</x:t>
  </x:si>
  <x:si>
    <x:t xml:space="preserve">BSP       </x:t>
  </x:si>
  <x:si>
    <x:t>Mufti Riyasat Ali</x:t>
  </x:si>
  <x:si>
    <x:t>Manglore</x:t>
  </x:si>
  <x:si>
    <x:t>Qazi Mohd Nizamuddin</x:t>
  </x:si>
  <x:si>
    <x:t>Sarwat Kareem Ansari</x:t>
  </x:si>
  <x:si>
    <x:t>Laksar</x:t>
  </x:si>
  <x:si>
    <x:t>Sanjay Gupta</x:t>
  </x:si>
  <x:si>
    <x:t>Haji Tasleem Ahmad</x:t>
  </x:si>
  <x:si>
    <x:t>Hardwar Rural</x:t>
  </x:si>
  <x:si>
    <x:t>Yatishwaranand</x:t>
  </x:si>
  <x:si>
    <x:t>Harish Chandra Singh Rawat</x:t>
  </x:si>
  <x:si>
    <x:t>Yamkeshwar</x:t>
  </x:si>
  <x:si>
    <x:t>Ritu Khanduri Bhushan</x:t>
  </x:si>
  <x:si>
    <x:t>Renu Bisht</x:t>
  </x:si>
  <x:si>
    <x:t>Pauri</x:t>
  </x:si>
  <x:si>
    <x:t>Mukesh Singh Koli</x:t>
  </x:si>
  <x:si>
    <x:t>Naval Kishor</x:t>
  </x:si>
  <x:si>
    <x:t>Srinagar</x:t>
  </x:si>
  <x:si>
    <x:t>Dr. Dhan Singh Rawat</x:t>
  </x:si>
  <x:si>
    <x:t>Ganesh Godiyal</x:t>
  </x:si>
  <x:si>
    <x:t>Chaubattakhal</x:t>
  </x:si>
  <x:si>
    <x:t>Satpal Maharaj</x:t>
  </x:si>
  <x:si>
    <x:t>Rajpal Singh Bisht</x:t>
  </x:si>
  <x:si>
    <x:t>Lansdowne</x:t>
  </x:si>
  <x:si>
    <x:t>Daleep Singh Rawat</x:t>
  </x:si>
  <x:si>
    <x:t>Lt. Gen(Retd) Tejpal Singh Rawat, P.V.S.M, V.S.M</x:t>
  </x:si>
  <x:si>
    <x:t>Kotdwar</x:t>
  </x:si>
  <x:si>
    <x:t>(Dr) Harak Singh Rawat</x:t>
  </x:si>
  <x:si>
    <x:t>Dharchula</x:t>
  </x:si>
  <x:si>
    <x:t>Harish Singh</x:t>
  </x:si>
  <x:si>
    <x:t>Virendra Singh Pal</x:t>
  </x:si>
  <x:si>
    <x:t>Didihat</x:t>
  </x:si>
  <x:si>
    <x:t>Vishan Singh</x:t>
  </x:si>
  <x:si>
    <x:t>Kishan  Bhandari</x:t>
  </x:si>
  <x:si>
    <x:t>Pithoragarh</x:t>
  </x:si>
  <x:si>
    <x:t>Prakash Pant</x:t>
  </x:si>
  <x:si>
    <x:t>Mayukh Mahar</x:t>
  </x:si>
  <x:si>
    <x:t>Gangolihat</x:t>
  </x:si>
  <x:si>
    <x:t>Meena Gangola</x:t>
  </x:si>
  <x:si>
    <x:t>Narayan Ram Arya</x:t>
  </x:si>
  <x:si>
    <x:t>Kapkot</x:t>
  </x:si>
  <x:si>
    <x:t>Balwant Singh Bhouriyal</x:t>
  </x:si>
  <x:si>
    <x:t>Lalit Farswan</x:t>
  </x:si>
  <x:si>
    <x:t>Bageshwar</x:t>
  </x:si>
  <x:si>
    <x:t>Chandan Ram Dass</x:t>
  </x:si>
  <x:si>
    <x:t>Balkrishan</x:t>
  </x:si>
  <x:si>
    <x:t>Dwarahat</x:t>
  </x:si>
  <x:si>
    <x:t>Mahesh Singh Negi</x:t>
  </x:si>
  <x:si>
    <x:t>Madan Singh Bisht</x:t>
  </x:si>
  <x:si>
    <x:t>Salt</x:t>
  </x:si>
  <x:si>
    <x:t>Surender Singh Jeena</x:t>
  </x:si>
  <x:si>
    <x:t>Ganga Pancholi</x:t>
  </x:si>
  <x:si>
    <x:t>Ranikhet</x:t>
  </x:si>
  <x:si>
    <x:t>Karan  Mahara</x:t>
  </x:si>
  <x:si>
    <x:t>Ajay Bhatt</x:t>
  </x:si>
  <x:si>
    <x:t>Someshwar (s.c.)</x:t>
  </x:si>
  <x:si>
    <x:t>Rekha Arya</x:t>
  </x:si>
  <x:si>
    <x:t>Rajendra Barakoti</x:t>
  </x:si>
  <x:si>
    <x:t>Almora</x:t>
  </x:si>
  <x:si>
    <x:t>Raghunath Singh Chauhan</x:t>
  </x:si>
  <x:si>
    <x:t>Manoj Tewari</x:t>
  </x:si>
  <x:si>
    <x:t>Jageshwar</x:t>
  </x:si>
  <x:si>
    <x:t>Govind Singh Kunjwal</x:t>
  </x:si>
  <x:si>
    <x:t>Subhash Pandey</x:t>
  </x:si>
  <x:si>
    <x:t>Lohaghat</x:t>
  </x:si>
  <x:si>
    <x:t>Puran Singh Fartyal</x:t>
  </x:si>
  <x:si>
    <x:t>Khushal Singh</x:t>
  </x:si>
  <x:si>
    <x:t>Champawat</x:t>
  </x:si>
  <x:si>
    <x:t>Kailash Chandra Gahtori</x:t>
  </x:si>
  <x:si>
    <x:t>Hemesh Kharkwal</x:t>
  </x:si>
  <x:si>
    <x:t>Lalkuwa</x:t>
  </x:si>
  <x:si>
    <x:t>Naveen Chandra Dumka</x:t>
  </x:si>
  <x:si>
    <x:t>Harish Chandra Durgapal</x:t>
  </x:si>
  <x:si>
    <x:t>Bhimtal</x:t>
  </x:si>
  <x:si>
    <x:t>Ram Singh Kaira</x:t>
  </x:si>
  <x:si>
    <x:t>Govind Singh Bisht</x:t>
  </x:si>
  <x:si>
    <x:t>Nainital</x:t>
  </x:si>
  <x:si>
    <x:t>Sanjeev Arya</x:t>
  </x:si>
  <x:si>
    <x:t>Sarita Arya</x:t>
  </x:si>
  <x:si>
    <x:t>Haldwani</x:t>
  </x:si>
  <x:si>
    <x:t>Indira Hridayesh</x:t>
  </x:si>
  <x:si>
    <x:t>Jogendra Pal Singh Rautela</x:t>
  </x:si>
  <x:si>
    <x:t>Kaladhungi</x:t>
  </x:si>
  <x:si>
    <x:t>Bansidhar Bhagat</x:t>
  </x:si>
  <x:si>
    <x:t>Prakash Joshi</x:t>
  </x:si>
  <x:si>
    <x:t>Ramnagar</x:t>
  </x:si>
  <x:si>
    <x:t>Diwan Singh Bisht</x:t>
  </x:si>
  <x:si>
    <x:t>Ranjeet Rawat</x:t>
  </x:si>
  <x:si>
    <x:t>Jaspur</x:t>
  </x:si>
  <x:si>
    <x:t>Adesh Singh Chauhan</x:t>
  </x:si>
  <x:si>
    <x:t>Dr. Shailendra Mohan Singhal</x:t>
  </x:si>
  <x:si>
    <x:t>Kashipur</x:t>
  </x:si>
  <x:si>
    <x:t>Harbhajan Singh Cheema</x:t>
  </x:si>
  <x:si>
    <x:t>Manoj Joshi</x:t>
  </x:si>
  <x:si>
    <x:t>Bajpur</x:t>
  </x:si>
  <x:si>
    <x:t>Yashpal Arya</x:t>
  </x:si>
  <x:si>
    <x:t>Suneeta Tamta</x:t>
  </x:si>
  <x:si>
    <x:t>Gadarpur</x:t>
  </x:si>
  <x:si>
    <x:t>Arvind Pandey</x:t>
  </x:si>
  <x:si>
    <x:t>Rajendra Pal Singh</x:t>
  </x:si>
  <x:si>
    <x:t>Rudrapur</x:t>
  </x:si>
  <x:si>
    <x:t>Rajkumar Thukral</x:t>
  </x:si>
  <x:si>
    <x:t>Tilak Raj Behar</x:t>
  </x:si>
  <x:si>
    <x:t>Kichha</x:t>
  </x:si>
  <x:si>
    <x:t>Rajesh Shukla</x:t>
  </x:si>
  <x:si>
    <x:t>Harish Rawat</x:t>
  </x:si>
  <x:si>
    <x:t>Sitarganj</x:t>
  </x:si>
  <x:si>
    <x:t>Saurabh Bahuguna</x:t>
  </x:si>
  <x:si>
    <x:t>Malti  Biswas</x:t>
  </x:si>
  <x:si>
    <x:t>Nanak matta</x:t>
  </x:si>
  <x:si>
    <x:t>Dr. Prem Singh</x:t>
  </x:si>
  <x:si>
    <x:t>Gopal Singh Rana</x:t>
  </x:si>
  <x:si>
    <x:t>Khatima</x:t>
  </x:si>
  <x:si>
    <x:t>Pushkar Singh Dhami</x:t>
  </x:si>
  <x:si>
    <x:t>Bhuwan Chandra Kapri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</x:si>
</x:sst>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2" /><Relationship Type="http://schemas.openxmlformats.org/officeDocument/2006/relationships/styles" Target="/xl/styles.xml" Id="rId73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a.xml" Id="rId11" /><Relationship Type="http://schemas.openxmlformats.org/officeDocument/2006/relationships/worksheet" Target="/xl/worksheets/sheetb.xml" Id="rId12" /><Relationship Type="http://schemas.openxmlformats.org/officeDocument/2006/relationships/worksheet" Target="/xl/worksheets/sheetc.xml" Id="rId13" /><Relationship Type="http://schemas.openxmlformats.org/officeDocument/2006/relationships/worksheet" Target="/xl/worksheets/sheetd.xml" Id="rId14" /><Relationship Type="http://schemas.openxmlformats.org/officeDocument/2006/relationships/worksheet" Target="/xl/worksheets/sheete.xml" Id="rId15" /><Relationship Type="http://schemas.openxmlformats.org/officeDocument/2006/relationships/worksheet" Target="/xl/worksheets/sheetf.xml" Id="rId16" /><Relationship Type="http://schemas.openxmlformats.org/officeDocument/2006/relationships/worksheet" Target="/xl/worksheets/sheet10.xml" Id="rId17" /><Relationship Type="http://schemas.openxmlformats.org/officeDocument/2006/relationships/worksheet" Target="/xl/worksheets/sheet11.xml" Id="rId18" /><Relationship Type="http://schemas.openxmlformats.org/officeDocument/2006/relationships/worksheet" Target="/xl/worksheets/sheet12.xml" Id="rId19" /><Relationship Type="http://schemas.openxmlformats.org/officeDocument/2006/relationships/worksheet" Target="/xl/worksheets/sheet13.xml" Id="rId20" /><Relationship Type="http://schemas.openxmlformats.org/officeDocument/2006/relationships/worksheet" Target="/xl/worksheets/sheet14.xml" Id="rId21" /><Relationship Type="http://schemas.openxmlformats.org/officeDocument/2006/relationships/worksheet" Target="/xl/worksheets/sheet15.xml" Id="rId22" /><Relationship Type="http://schemas.openxmlformats.org/officeDocument/2006/relationships/worksheet" Target="/xl/worksheets/sheet16.xml" Id="rId23" /><Relationship Type="http://schemas.openxmlformats.org/officeDocument/2006/relationships/worksheet" Target="/xl/worksheets/sheet17.xml" Id="rId24" /><Relationship Type="http://schemas.openxmlformats.org/officeDocument/2006/relationships/worksheet" Target="/xl/worksheets/sheet18.xml" Id="rId25" /><Relationship Type="http://schemas.openxmlformats.org/officeDocument/2006/relationships/worksheet" Target="/xl/worksheets/sheet19.xml" Id="rId26" /><Relationship Type="http://schemas.openxmlformats.org/officeDocument/2006/relationships/worksheet" Target="/xl/worksheets/sheet1a.xml" Id="rId27" /><Relationship Type="http://schemas.openxmlformats.org/officeDocument/2006/relationships/worksheet" Target="/xl/worksheets/sheet1b.xml" Id="rId28" /><Relationship Type="http://schemas.openxmlformats.org/officeDocument/2006/relationships/worksheet" Target="/xl/worksheets/sheet1c.xml" Id="rId29" /><Relationship Type="http://schemas.openxmlformats.org/officeDocument/2006/relationships/worksheet" Target="/xl/worksheets/sheet1d.xml" Id="rId30" /><Relationship Type="http://schemas.openxmlformats.org/officeDocument/2006/relationships/worksheet" Target="/xl/worksheets/sheet1e.xml" Id="rId31" /><Relationship Type="http://schemas.openxmlformats.org/officeDocument/2006/relationships/worksheet" Target="/xl/worksheets/sheet1f.xml" Id="rId32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1.xml" Id="rId34" /><Relationship Type="http://schemas.openxmlformats.org/officeDocument/2006/relationships/worksheet" Target="/xl/worksheets/sheet22.xml" Id="rId35" /><Relationship Type="http://schemas.openxmlformats.org/officeDocument/2006/relationships/worksheet" Target="/xl/worksheets/sheet23.xml" Id="rId36" /><Relationship Type="http://schemas.openxmlformats.org/officeDocument/2006/relationships/worksheet" Target="/xl/worksheets/sheet24.xml" Id="rId37" /><Relationship Type="http://schemas.openxmlformats.org/officeDocument/2006/relationships/worksheet" Target="/xl/worksheets/sheet25.xml" Id="rId38" /><Relationship Type="http://schemas.openxmlformats.org/officeDocument/2006/relationships/worksheet" Target="/xl/worksheets/sheet26.xml" Id="rId39" /><Relationship Type="http://schemas.openxmlformats.org/officeDocument/2006/relationships/worksheet" Target="/xl/worksheets/sheet27.xml" Id="rId40" /><Relationship Type="http://schemas.openxmlformats.org/officeDocument/2006/relationships/worksheet" Target="/xl/worksheets/sheet28.xml" Id="rId41" /><Relationship Type="http://schemas.openxmlformats.org/officeDocument/2006/relationships/worksheet" Target="/xl/worksheets/sheet29.xml" Id="rId42" /><Relationship Type="http://schemas.openxmlformats.org/officeDocument/2006/relationships/worksheet" Target="/xl/worksheets/sheet2a.xml" Id="rId43" /><Relationship Type="http://schemas.openxmlformats.org/officeDocument/2006/relationships/worksheet" Target="/xl/worksheets/sheet2b.xml" Id="rId44" /><Relationship Type="http://schemas.openxmlformats.org/officeDocument/2006/relationships/worksheet" Target="/xl/worksheets/sheet2c.xml" Id="rId45" /><Relationship Type="http://schemas.openxmlformats.org/officeDocument/2006/relationships/worksheet" Target="/xl/worksheets/sheet2d.xml" Id="rId46" /><Relationship Type="http://schemas.openxmlformats.org/officeDocument/2006/relationships/worksheet" Target="/xl/worksheets/sheet2e.xml" Id="rId47" /><Relationship Type="http://schemas.openxmlformats.org/officeDocument/2006/relationships/worksheet" Target="/xl/worksheets/sheet2f.xml" Id="rId48" /><Relationship Type="http://schemas.openxmlformats.org/officeDocument/2006/relationships/worksheet" Target="/xl/worksheets/sheet30.xml" Id="rId49" /><Relationship Type="http://schemas.openxmlformats.org/officeDocument/2006/relationships/worksheet" Target="/xl/worksheets/sheet31.xml" Id="rId50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3.xml" Id="rId52" /><Relationship Type="http://schemas.openxmlformats.org/officeDocument/2006/relationships/worksheet" Target="/xl/worksheets/sheet34.xml" Id="rId53" /><Relationship Type="http://schemas.openxmlformats.org/officeDocument/2006/relationships/worksheet" Target="/xl/worksheets/sheet35.xml" Id="rId54" /><Relationship Type="http://schemas.openxmlformats.org/officeDocument/2006/relationships/worksheet" Target="/xl/worksheets/sheet36.xml" Id="rId55" /><Relationship Type="http://schemas.openxmlformats.org/officeDocument/2006/relationships/worksheet" Target="/xl/worksheets/sheet37.xml" Id="rId56" /><Relationship Type="http://schemas.openxmlformats.org/officeDocument/2006/relationships/worksheet" Target="/xl/worksheets/sheet38.xml" Id="rId57" /><Relationship Type="http://schemas.openxmlformats.org/officeDocument/2006/relationships/worksheet" Target="/xl/worksheets/sheet39.xml" Id="rId58" /><Relationship Type="http://schemas.openxmlformats.org/officeDocument/2006/relationships/worksheet" Target="/xl/worksheets/sheet3a.xml" Id="rId59" /><Relationship Type="http://schemas.openxmlformats.org/officeDocument/2006/relationships/worksheet" Target="/xl/worksheets/sheet3b.xml" Id="rId60" /><Relationship Type="http://schemas.openxmlformats.org/officeDocument/2006/relationships/worksheet" Target="/xl/worksheets/sheet3c.xml" Id="rId61" /><Relationship Type="http://schemas.openxmlformats.org/officeDocument/2006/relationships/worksheet" Target="/xl/worksheets/sheet3d.xml" Id="rId62" /><Relationship Type="http://schemas.openxmlformats.org/officeDocument/2006/relationships/worksheet" Target="/xl/worksheets/sheet3e.xml" Id="rId63" /><Relationship Type="http://schemas.openxmlformats.org/officeDocument/2006/relationships/worksheet" Target="/xl/worksheets/sheet3f.xml" Id="rId64" /><Relationship Type="http://schemas.openxmlformats.org/officeDocument/2006/relationships/worksheet" Target="/xl/worksheets/sheet40.xml" Id="rId65" /><Relationship Type="http://schemas.openxmlformats.org/officeDocument/2006/relationships/worksheet" Target="/xl/worksheets/sheet41.xml" Id="rId66" /><Relationship Type="http://schemas.openxmlformats.org/officeDocument/2006/relationships/worksheet" Target="/xl/worksheets/sheet42.xml" Id="rId67" /><Relationship Type="http://schemas.openxmlformats.org/officeDocument/2006/relationships/worksheet" Target="/xl/worksheets/sheet43.xml" Id="rId68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5.xml" Id="rId70" /><Relationship Type="http://schemas.openxmlformats.org/officeDocument/2006/relationships/worksheet" Target="/xl/worksheets/sheet46.xml" Id="rId71" /><Relationship Type="http://schemas.openxmlformats.org/officeDocument/2006/relationships/calcChain" Target="/xl/calcChain.xml" Id="rId74" /><Relationship Type="http://schemas.openxmlformats.org/officeDocument/2006/relationships/theme" Target="/xl/theme/theme.xml" Id="rId7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4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34827</x:v>
      </x:c>
      <x:c r="F12" s="0" t="n">
        <x:v>32326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231</x:v>
      </x:c>
      <x:c r="F14" s="0" t="n">
        <x:v>112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24695</x:v>
      </x:c>
      <x:c r="F18" s="0" t="n">
        <x:v>24112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725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178</x:v>
      </x:c>
    </x:row>
    <x:row r="32" spans="1:10">
      <x:c r="B32" s="0" t="s">
        <x:v>27</x:v>
      </x:c>
      <x:c r="C32" s="0" t="n">
        <x:v>377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40</x:v>
      </x:c>
      <x:c r="G42" s="0" t="n">
        <x:v>17798</x:v>
      </x:c>
    </x:row>
    <x:row r="43" spans="1:10">
      <x:c r="B43" s="0" t="s">
        <x:v>41</x:v>
      </x:c>
      <x:c r="C43" s="0" t="s">
        <x:v>42</x:v>
      </x:c>
      <x:c r="E43" s="0" t="s">
        <x:v>43</x:v>
      </x:c>
      <x:c r="G43" s="0" t="n">
        <x:v>16785</x:v>
      </x:c>
    </x:row>
    <x:row r="44" spans="1:10">
      <x:c r="B44" s="0" t="s">
        <x:v>44</x:v>
      </x:c>
      <x:c r="C44" s="0" t="n">
        <x:v>1013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78673</x:v>
      </x:c>
      <x:c r="F12" s="0" t="n">
        <x:v>68117</x:v>
      </x:c>
      <x:c r="H12" s="0" t="n">
        <x:v>12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83</x:v>
      </x:c>
      <x:c r="F14" s="0" t="n">
        <x:v>47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54846</x:v>
      </x:c>
      <x:c r="F18" s="0" t="n">
        <x:v>47993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1135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180</x:v>
      </x:c>
    </x:row>
    <x:row r="32" spans="1:10">
      <x:c r="B32" s="0" t="s">
        <x:v>27</x:v>
      </x:c>
      <x:c r="C32" s="0" t="n">
        <x:v>816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119</x:v>
      </x:c>
      <x:c r="G42" s="0" t="n">
        <x:v>56644</x:v>
      </x:c>
    </x:row>
    <x:row r="43" spans="1:10">
      <x:c r="B43" s="0" t="s">
        <x:v>41</x:v>
      </x:c>
      <x:c r="C43" s="0" t="s">
        <x:v>39</x:v>
      </x:c>
      <x:c r="E43" s="0" t="s">
        <x:v>120</x:v>
      </x:c>
      <x:c r="G43" s="0" t="n">
        <x:v>34404</x:v>
      </x:c>
    </x:row>
    <x:row r="44" spans="1:10">
      <x:c r="B44" s="0" t="s">
        <x:v>44</x:v>
      </x:c>
      <x:c r="C44" s="0" t="n">
        <x:v>22240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121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58419</x:v>
      </x:c>
      <x:c r="F12" s="0" t="n">
        <x:v>50354</x:v>
      </x:c>
      <x:c r="H12" s="0" t="n">
        <x:v>14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59</x:v>
      </x:c>
      <x:c r="F14" s="0" t="n">
        <x:v>29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46612</x:v>
      </x:c>
      <x:c r="F18" s="0" t="n">
        <x:v>40125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238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143</x:v>
      </x:c>
    </x:row>
    <x:row r="32" spans="1:10">
      <x:c r="B32" s="0" t="s">
        <x:v>27</x:v>
      </x:c>
      <x:c r="C32" s="0" t="n">
        <x:v>761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122</x:v>
      </x:c>
      <x:c r="G42" s="0" t="n">
        <x:v>29513</x:v>
      </x:c>
    </x:row>
    <x:row r="43" spans="1:10">
      <x:c r="B43" s="0" t="s">
        <x:v>41</x:v>
      </x:c>
      <x:c r="C43" s="0" t="s">
        <x:v>39</x:v>
      </x:c>
      <x:c r="E43" s="0" t="s">
        <x:v>123</x:v>
      </x:c>
      <x:c r="G43" s="0" t="n">
        <x:v>24725</x:v>
      </x:c>
    </x:row>
    <x:row r="44" spans="1:10">
      <x:c r="B44" s="0" t="s">
        <x:v>44</x:v>
      </x:c>
      <x:c r="C44" s="0" t="n">
        <x:v>4788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124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62737</x:v>
      </x:c>
      <x:c r="F12" s="0" t="n">
        <x:v>53551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74</x:v>
      </x:c>
      <x:c r="F14" s="0" t="n">
        <x:v>43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50211</x:v>
      </x:c>
      <x:c r="F18" s="0" t="n">
        <x:v>42770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177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149</x:v>
      </x:c>
    </x:row>
    <x:row r="32" spans="1:10">
      <x:c r="B32" s="0" t="s">
        <x:v>27</x:v>
      </x:c>
      <x:c r="C32" s="0" t="n">
        <x:v>780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125</x:v>
      </x:c>
      <x:c r="G42" s="0" t="n">
        <x:v>44882</x:v>
      </x:c>
    </x:row>
    <x:row r="43" spans="1:10">
      <x:c r="B43" s="0" t="s">
        <x:v>41</x:v>
      </x:c>
      <x:c r="C43" s="0" t="s">
        <x:v>42</x:v>
      </x:c>
      <x:c r="E43" s="0" t="s">
        <x:v>126</x:v>
      </x:c>
      <x:c r="G43" s="0" t="n">
        <x:v>42369</x:v>
      </x:c>
    </x:row>
    <x:row r="44" spans="1:10">
      <x:c r="B44" s="0" t="s">
        <x:v>44</x:v>
      </x:c>
      <x:c r="C44" s="0" t="n">
        <x:v>2513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127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59854</x:v>
      </x:c>
      <x:c r="F12" s="0" t="n">
        <x:v>50588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153</x:v>
      </x:c>
      <x:c r="F14" s="0" t="n">
        <x:v>71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45565</x:v>
      </x:c>
      <x:c r="F18" s="0" t="n">
        <x:v>38598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299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151</x:v>
      </x:c>
    </x:row>
    <x:row r="32" spans="1:10">
      <x:c r="B32" s="0" t="s">
        <x:v>27</x:v>
      </x:c>
      <x:c r="C32" s="0" t="n">
        <x:v>731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128</x:v>
      </x:c>
      <x:c r="G42" s="0" t="n">
        <x:v>32146</x:v>
      </x:c>
    </x:row>
    <x:row r="43" spans="1:10">
      <x:c r="B43" s="0" t="s">
        <x:v>41</x:v>
      </x:c>
      <x:c r="C43" s="0" t="s">
        <x:v>39</x:v>
      </x:c>
      <x:c r="E43" s="0" t="s">
        <x:v>129</x:v>
      </x:c>
      <x:c r="G43" s="0" t="n">
        <x:v>29893</x:v>
      </x:c>
    </x:row>
    <x:row r="44" spans="1:10">
      <x:c r="B44" s="0" t="s">
        <x:v>44</x:v>
      </x:c>
      <x:c r="C44" s="0" t="n">
        <x:v>2253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130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59354</x:v>
      </x:c>
      <x:c r="F12" s="0" t="n">
        <x:v>51595</x:v>
      </x:c>
      <x:c r="H12" s="0" t="n">
        <x:v>5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65</x:v>
      </x:c>
      <x:c r="F14" s="0" t="n">
        <x:v>39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48031</x:v>
      </x:c>
      <x:c r="F18" s="0" t="n">
        <x:v>42316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272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133</x:v>
      </x:c>
    </x:row>
    <x:row r="32" spans="1:10">
      <x:c r="B32" s="0" t="s">
        <x:v>27</x:v>
      </x:c>
      <x:c r="C32" s="0" t="n">
        <x:v>834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131</x:v>
      </x:c>
      <x:c r="G42" s="0" t="n">
        <x:v>29243</x:v>
      </x:c>
    </x:row>
    <x:row r="43" spans="1:10">
      <x:c r="B43" s="0" t="s">
        <x:v>41</x:v>
      </x:c>
      <x:c r="C43" s="0" t="s">
        <x:v>42</x:v>
      </x:c>
      <x:c r="E43" s="0" t="s">
        <x:v>132</x:v>
      </x:c>
      <x:c r="G43" s="0" t="n">
        <x:v>27894</x:v>
      </x:c>
    </x:row>
    <x:row r="44" spans="1:10">
      <x:c r="B44" s="0" t="s">
        <x:v>44</x:v>
      </x:c>
      <x:c r="C44" s="0" t="n">
        <x:v>1349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133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59441</x:v>
      </x:c>
      <x:c r="F12" s="0" t="n">
        <x:v>52791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579</x:v>
      </x:c>
      <x:c r="F14" s="0" t="n">
        <x:v>388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37544</x:v>
      </x:c>
      <x:c r="F18" s="0" t="n">
        <x:v>34378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590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245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J22-245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134</x:v>
      </x:c>
    </x:row>
    <x:row r="32" spans="1:10">
      <x:c r="B32" s="0" t="s">
        <x:v>27</x:v>
      </x:c>
      <x:c r="C32" s="0" t="n">
        <x:v>838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134</x:v>
      </x:c>
      <x:c r="G42" s="0" t="n">
        <x:v>40000</x:v>
      </x:c>
    </x:row>
    <x:row r="43" spans="1:10">
      <x:c r="B43" s="0" t="s">
        <x:v>41</x:v>
      </x:c>
      <x:c r="C43" s="0" t="s">
        <x:v>39</x:v>
      </x:c>
      <x:c r="E43" s="0" t="s">
        <x:v>135</x:v>
      </x:c>
      <x:c r="G43" s="0" t="n">
        <x:v>27458</x:v>
      </x:c>
    </x:row>
    <x:row r="44" spans="1:10">
      <x:c r="B44" s="0" t="s">
        <x:v>44</x:v>
      </x:c>
      <x:c r="C44" s="0" t="n">
        <x:v>12542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35726</x:v>
      </x:c>
      <x:c r="F12" s="0" t="n">
        <x:v>33812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566</x:v>
      </x:c>
      <x:c r="F14" s="0" t="n">
        <x:v>289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21760</x:v>
      </x:c>
      <x:c r="F18" s="0" t="n">
        <x:v>24300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1216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159</x:v>
      </x:c>
    </x:row>
    <x:row r="32" spans="1:10">
      <x:c r="B32" s="0" t="s">
        <x:v>27</x:v>
      </x:c>
      <x:c r="C32" s="0" t="n">
        <x:v>437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46</x:v>
      </x:c>
      <x:c r="G42" s="0" t="n">
        <x:v>19800</x:v>
      </x:c>
    </x:row>
    <x:row r="43" spans="1:10">
      <x:c r="B43" s="0" t="s">
        <x:v>41</x:v>
      </x:c>
      <x:c r="C43" s="0" t="s">
        <x:v>39</x:v>
      </x:c>
      <x:c r="E43" s="0" t="s">
        <x:v>47</x:v>
      </x:c>
      <x:c r="G43" s="0" t="n">
        <x:v>13840</x:v>
      </x:c>
    </x:row>
    <x:row r="44" spans="1:10">
      <x:c r="B44" s="0" t="s">
        <x:v>44</x:v>
      </x:c>
      <x:c r="C44" s="0" t="n">
        <x:v>5960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166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41590</x:v>
      </x:c>
      <x:c r="F12" s="0" t="n">
        <x:v>42253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1644</x:v>
      </x:c>
      <x:c r="F14" s="0" t="n">
        <x:v>954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25663</x:v>
      </x:c>
      <x:c r="F18" s="0" t="n">
        <x:v>27129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16</x:v>
      </x:c>
    </x:row>
    <x:row r="21" spans="1:10">
      <x:c r="B21" s="0" t="s">
        <x:v>19</x:v>
      </x:c>
      <x:c r="J21" s="0" t="n">
        <x:v>1348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J22-315</x:f>
      </x:c>
    </x:row>
    <x:row r="29" spans="1:10">
      <x:c r="B29" s="0" t="s">
        <x:v>25</x:v>
      </x:c>
      <x:c r="C29" s="0" t="n">
        <x:v>3</x:v>
      </x:c>
    </x:row>
    <x:row r="31" spans="1:10">
      <x:c r="A31" s="0" t="s">
        <x:v>26</x:v>
      </x:c>
      <x:c r="C31" s="0" t="n">
        <x:v>143</x:v>
      </x:c>
    </x:row>
    <x:row r="32" spans="1:10">
      <x:c r="B32" s="0" t="s">
        <x:v>27</x:v>
      </x:c>
      <x:c r="C32" s="0" t="n">
        <x:v>586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167</x:v>
      </x:c>
      <x:c r="G42" s="0" t="n">
        <x:v>25597</x:v>
      </x:c>
    </x:row>
    <x:row r="43" spans="1:10">
      <x:c r="B43" s="0" t="s">
        <x:v>41</x:v>
      </x:c>
      <x:c r="C43" s="0" t="s">
        <x:v>42</x:v>
      </x:c>
      <x:c r="E43" s="0" t="s">
        <x:v>168</x:v>
      </x:c>
      <x:c r="G43" s="0" t="n">
        <x:v>22512</x:v>
      </x:c>
    </x:row>
    <x:row r="44" spans="1:10">
      <x:c r="B44" s="0" t="s">
        <x:v>44</x:v>
      </x:c>
      <x:c r="C44" s="0" t="n">
        <x:v>3085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169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39083</x:v>
      </x:c>
      <x:c r="F12" s="0" t="n">
        <x:v>41596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2779</x:v>
      </x:c>
      <x:c r="F14" s="0" t="n">
        <x:v>1204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23510</x:v>
      </x:c>
      <x:c r="F18" s="0" t="n">
        <x:v>27025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1</x:v>
      </x:c>
    </x:row>
    <x:row r="21" spans="1:10">
      <x:c r="B21" s="0" t="s">
        <x:v>19</x:v>
      </x:c>
      <x:c r="J21" s="0" t="n">
        <x:v>1204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132</x:v>
      </x:c>
    </x:row>
    <x:row r="32" spans="1:10">
      <x:c r="B32" s="0" t="s">
        <x:v>27</x:v>
      </x:c>
      <x:c r="C32" s="0" t="n">
        <x:v>611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170</x:v>
      </x:c>
      <x:c r="G42" s="0" t="n">
        <x:v>17392</x:v>
      </x:c>
    </x:row>
    <x:row r="43" spans="1:10">
      <x:c r="B43" s="0" t="s">
        <x:v>41</x:v>
      </x:c>
      <x:c r="C43" s="0" t="s">
        <x:v>62</x:v>
      </x:c>
      <x:c r="E43" s="0" t="s">
        <x:v>171</x:v>
      </x:c>
      <x:c r="G43" s="0" t="n">
        <x:v>15024</x:v>
      </x:c>
    </x:row>
    <x:row r="44" spans="1:10">
      <x:c r="B44" s="0" t="s">
        <x:v>44</x:v>
      </x:c>
      <x:c r="C44" s="0" t="n">
        <x:v>2368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172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52060</x:v>
      </x:c>
      <x:c r="F12" s="0" t="n">
        <x:v>51817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2444</x:v>
      </x:c>
      <x:c r="F14" s="0" t="n">
        <x:v>1050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30114</x:v>
      </x:c>
      <x:c r="F18" s="0" t="n">
        <x:v>34853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2040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349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J22-349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141</x:v>
      </x:c>
    </x:row>
    <x:row r="32" spans="1:10">
      <x:c r="B32" s="0" t="s">
        <x:v>27</x:v>
      </x:c>
      <x:c r="C32" s="0" t="n">
        <x:v>737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173</x:v>
      </x:c>
      <x:c r="G42" s="0" t="n">
        <x:v>32941</x:v>
      </x:c>
    </x:row>
    <x:row r="43" spans="1:10">
      <x:c r="B43" s="0" t="s">
        <x:v>41</x:v>
      </x:c>
      <x:c r="C43" s="0" t="s">
        <x:v>39</x:v>
      </x:c>
      <x:c r="E43" s="0" t="s">
        <x:v>174</x:v>
      </x:c>
      <x:c r="G43" s="0" t="n">
        <x:v>30257</x:v>
      </x:c>
    </x:row>
    <x:row r="44" spans="1:10">
      <x:c r="B44" s="0" t="s">
        <x:v>44</x:v>
      </x:c>
      <x:c r="C44" s="0" t="n">
        <x:v>2684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175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5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49950</x:v>
      </x:c>
      <x:c r="F12" s="0" t="n">
        <x:v>47251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2082</x:v>
      </x:c>
      <x:c r="F14" s="0" t="n">
        <x:v>1032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24475</x:v>
      </x:c>
      <x:c r="F18" s="0" t="n">
        <x:v>29245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1372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416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J22-416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154</x:v>
      </x:c>
    </x:row>
    <x:row r="32" spans="1:10">
      <x:c r="B32" s="0" t="s">
        <x:v>27</x:v>
      </x:c>
      <x:c r="C32" s="0" t="n">
        <x:v>631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176</x:v>
      </x:c>
      <x:c r="G42" s="0" t="n">
        <x:v>20418</x:v>
      </x:c>
    </x:row>
    <x:row r="43" spans="1:10">
      <x:c r="B43" s="0" t="s">
        <x:v>41</x:v>
      </x:c>
      <x:c r="C43" s="0" t="s">
        <x:v>39</x:v>
      </x:c>
      <x:c r="E43" s="0" t="s">
        <x:v>177</x:v>
      </x:c>
      <x:c r="G43" s="0" t="n">
        <x:v>19613</x:v>
      </x:c>
    </x:row>
    <x:row r="44" spans="1:10">
      <x:c r="B44" s="0" t="s">
        <x:v>44</x:v>
      </x:c>
      <x:c r="C44" s="0" t="n">
        <x:v>805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178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47341</x:v>
      </x:c>
      <x:c r="F12" s="0" t="n">
        <x:v>46433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1867</x:v>
      </x:c>
      <x:c r="F14" s="0" t="n">
        <x:v>1100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27545</x:v>
      </x:c>
      <x:c r="F18" s="0" t="n">
        <x:v>31213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4</x:v>
      </x:c>
    </x:row>
    <x:row r="21" spans="1:10">
      <x:c r="B21" s="0" t="s">
        <x:v>19</x:v>
      </x:c>
      <x:c r="J21" s="0" t="n">
        <x:v>1498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482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J22-482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172</x:v>
      </x:c>
    </x:row>
    <x:row r="32" spans="1:10">
      <x:c r="B32" s="0" t="s">
        <x:v>27</x:v>
      </x:c>
      <x:c r="C32" s="0" t="n">
        <x:v>545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179</x:v>
      </x:c>
      <x:c r="G42" s="0" t="n">
        <x:v>27213</x:v>
      </x:c>
    </x:row>
    <x:row r="43" spans="1:10">
      <x:c r="B43" s="0" t="s">
        <x:v>41</x:v>
      </x:c>
      <x:c r="C43" s="0" t="s">
        <x:v>39</x:v>
      </x:c>
      <x:c r="E43" s="0" t="s">
        <x:v>180</x:v>
      </x:c>
      <x:c r="G43" s="0" t="n">
        <x:v>21231</x:v>
      </x:c>
    </x:row>
    <x:row r="44" spans="1:10">
      <x:c r="B44" s="0" t="s">
        <x:v>44</x:v>
      </x:c>
      <x:c r="C44" s="0" t="n">
        <x:v>5982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181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3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56020</x:v>
      </x:c>
      <x:c r="F12" s="0" t="n">
        <x:v>53924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1817</x:v>
      </x:c>
      <x:c r="F14" s="0" t="n">
        <x:v>951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28083</x:v>
      </x:c>
      <x:c r="F18" s="0" t="n">
        <x:v>37885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2</x:v>
      </x:c>
    </x:row>
    <x:row r="21" spans="1:10">
      <x:c r="B21" s="0" t="s">
        <x:v>19</x:v>
      </x:c>
      <x:c r="J21" s="0" t="n">
        <x:v>1785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274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J22-274</x:f>
      </x:c>
    </x:row>
    <x:row r="29" spans="1:10">
      <x:c r="B29" s="0" t="s">
        <x:v>25</x:v>
      </x:c>
      <x:c r="C29" s="0" t="n">
        <x:v>5</x:v>
      </x:c>
    </x:row>
    <x:row r="31" spans="1:10">
      <x:c r="A31" s="0" t="s">
        <x:v>26</x:v>
      </x:c>
      <x:c r="C31" s="0" t="n">
        <x:v>177</x:v>
      </x:c>
    </x:row>
    <x:row r="32" spans="1:10">
      <x:c r="B32" s="0" t="s">
        <x:v>27</x:v>
      </x:c>
      <x:c r="C32" s="0" t="n">
        <x:v>621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182</x:v>
      </x:c>
      <x:c r="G42" s="0" t="n">
        <x:v>33792</x:v>
      </x:c>
    </x:row>
    <x:row r="43" spans="1:10">
      <x:c r="B43" s="0" t="s">
        <x:v>41</x:v>
      </x:c>
      <x:c r="C43" s="0" t="s">
        <x:v>39</x:v>
      </x:c>
      <x:c r="E43" s="0" t="s">
        <x:v>183</x:v>
      </x:c>
      <x:c r="G43" s="0" t="n">
        <x:v>19225</x:v>
      </x:c>
    </x:row>
    <x:row r="44" spans="1:10">
      <x:c r="B44" s="0" t="s">
        <x:v>44</x:v>
      </x:c>
      <x:c r="C44" s="0" t="n">
        <x:v>14567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48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41953</x:v>
      </x:c>
      <x:c r="F12" s="0" t="n">
        <x:v>39168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862</x:v>
      </x:c>
      <x:c r="F14" s="0" t="n">
        <x:v>432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25196</x:v>
      </x:c>
      <x:c r="F18" s="0" t="n">
        <x:v>28680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2152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372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J22-372</x:f>
      </x:c>
    </x:row>
    <x:row r="29" spans="1:10">
      <x:c r="B29" s="0" t="s">
        <x:v>25</x:v>
      </x:c>
      <x:c r="C29" s="0" t="n">
        <x:v>4</x:v>
      </x:c>
    </x:row>
    <x:row r="31" spans="1:10">
      <x:c r="A31" s="0" t="s">
        <x:v>26</x:v>
      </x:c>
      <x:c r="C31" s="0" t="n">
        <x:v>165</x:v>
      </x:c>
    </x:row>
    <x:row r="32" spans="1:10">
      <x:c r="B32" s="0" t="s">
        <x:v>27</x:v>
      </x:c>
      <x:c r="C32" s="0" t="n">
        <x:v>492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49</x:v>
      </x:c>
      <x:c r="G42" s="0" t="n">
        <x:v>25683</x:v>
      </x:c>
    </x:row>
    <x:row r="43" spans="1:10">
      <x:c r="B43" s="0" t="s">
        <x:v>41</x:v>
      </x:c>
      <x:c r="C43" s="0" t="s">
        <x:v>39</x:v>
      </x:c>
      <x:c r="E43" s="0" t="s">
        <x:v>50</x:v>
      </x:c>
      <x:c r="G43" s="0" t="n">
        <x:v>16073</x:v>
      </x:c>
    </x:row>
    <x:row r="44" spans="1:10">
      <x:c r="B44" s="0" t="s">
        <x:v>44</x:v>
      </x:c>
      <x:c r="C44" s="0" t="n">
        <x:v>9610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214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56942</x:v>
      </x:c>
      <x:c r="F12" s="0" t="n">
        <x:v>50250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598</x:v>
      </x:c>
      <x:c r="F14" s="0" t="n">
        <x:v>279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30936</x:v>
      </x:c>
      <x:c r="F18" s="0" t="n">
        <x:v>29634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914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223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J22-223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152</x:v>
      </x:c>
    </x:row>
    <x:row r="32" spans="1:10">
      <x:c r="B32" s="0" t="s">
        <x:v>27</x:v>
      </x:c>
      <x:c r="C32" s="0" t="n">
        <x:v>705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215</x:v>
      </x:c>
      <x:c r="G42" s="0" t="n">
        <x:v>30036</x:v>
      </x:c>
    </x:row>
    <x:row r="43" spans="1:10">
      <x:c r="B43" s="0" t="s">
        <x:v>41</x:v>
      </x:c>
      <x:c r="C43" s="0" t="s">
        <x:v>39</x:v>
      </x:c>
      <x:c r="E43" s="0" t="s">
        <x:v>216</x:v>
      </x:c>
      <x:c r="G43" s="0" t="n">
        <x:v>22789</x:v>
      </x:c>
    </x:row>
    <x:row r="44" spans="1:10">
      <x:c r="B44" s="0" t="s">
        <x:v>44</x:v>
      </x:c>
      <x:c r="C44" s="0" t="n">
        <x:v>7247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217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74452</x:v>
      </x:c>
      <x:c r="F12" s="0" t="n">
        <x:v>65517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287</x:v>
      </x:c>
      <x:c r="F14" s="0" t="n">
        <x:v>151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49308</x:v>
      </x:c>
      <x:c r="F18" s="0" t="n">
        <x:v>44321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683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163</x:v>
      </x:c>
    </x:row>
    <x:row r="32" spans="1:10">
      <x:c r="B32" s="0" t="s">
        <x:v>27</x:v>
      </x:c>
      <x:c r="C32" s="0" t="n">
        <x:v>859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218</x:v>
      </x:c>
      <x:c r="G42" s="0" t="n">
        <x:v>43786</x:v>
      </x:c>
    </x:row>
    <x:row r="43" spans="1:10">
      <x:c r="B43" s="0" t="s">
        <x:v>41</x:v>
      </x:c>
      <x:c r="C43" s="0" t="s">
        <x:v>42</x:v>
      </x:c>
      <x:c r="E43" s="0" t="s">
        <x:v>219</x:v>
      </x:c>
      <x:c r="G43" s="0" t="n">
        <x:v>37229</x:v>
      </x:c>
    </x:row>
    <x:row r="44" spans="1:10">
      <x:c r="B44" s="0" t="s">
        <x:v>44</x:v>
      </x:c>
      <x:c r="C44" s="0" t="n">
        <x:v>6557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220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75661</x:v>
      </x:c>
      <x:c r="F12" s="0" t="n">
        <x:v>70903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1221</x:v>
      </x:c>
      <x:c r="F14" s="0" t="n">
        <x:v>646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50156</x:v>
      </x:c>
      <x:c r="F18" s="0" t="n">
        <x:v>50565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1383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304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J22-304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183</x:v>
      </x:c>
    </x:row>
    <x:row r="32" spans="1:10">
      <x:c r="B32" s="0" t="s">
        <x:v>27</x:v>
      </x:c>
      <x:c r="C32" s="0" t="n">
        <x:v>801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221</x:v>
      </x:c>
      <x:c r="G42" s="0" t="n">
        <x:v>45704</x:v>
      </x:c>
    </x:row>
    <x:row r="43" spans="1:10">
      <x:c r="B43" s="0" t="s">
        <x:v>41</x:v>
      </x:c>
      <x:c r="C43" s="0" t="s">
        <x:v>39</x:v>
      </x:c>
      <x:c r="E43" s="0" t="s">
        <x:v>222</x:v>
      </x:c>
      <x:c r="G43" s="0" t="n">
        <x:v>25107</x:v>
      </x:c>
    </x:row>
    <x:row r="44" spans="1:10">
      <x:c r="B44" s="0" t="s">
        <x:v>44</x:v>
      </x:c>
      <x:c r="C44" s="0" t="n">
        <x:v>20597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223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56895</x:v>
      </x:c>
      <x:c r="F12" s="0" t="n">
        <x:v>51434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436</x:v>
      </x:c>
      <x:c r="F14" s="0" t="n">
        <x:v>145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39263</x:v>
      </x:c>
      <x:c r="F18" s="0" t="n">
        <x:v>37725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575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132</x:v>
      </x:c>
    </x:row>
    <x:row r="32" spans="1:10">
      <x:c r="B32" s="0" t="s">
        <x:v>27</x:v>
      </x:c>
      <x:c r="C32" s="0" t="n">
        <x:v>821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224</x:v>
      </x:c>
      <x:c r="G42" s="0" t="n">
        <x:v>35839</x:v>
      </x:c>
    </x:row>
    <x:row r="43" spans="1:10">
      <x:c r="B43" s="0" t="s">
        <x:v>41</x:v>
      </x:c>
      <x:c r="C43" s="0" t="s">
        <x:v>39</x:v>
      </x:c>
      <x:c r="E43" s="0" t="s">
        <x:v>225</x:v>
      </x:c>
      <x:c r="G43" s="0" t="n">
        <x:v>27228</x:v>
      </x:c>
    </x:row>
    <x:row r="44" spans="1:10">
      <x:c r="B44" s="0" t="s">
        <x:v>44</x:v>
      </x:c>
      <x:c r="C44" s="0" t="n">
        <x:v>8611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226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62568</x:v>
      </x:c>
      <x:c r="F12" s="0" t="n">
        <x:v>53008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150</x:v>
      </x:c>
      <x:c r="F14" s="0" t="n">
        <x:v>38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48230</x:v>
      </x:c>
      <x:c r="F18" s="0" t="n">
        <x:v>42919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720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71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J22-71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141</x:v>
      </x:c>
    </x:row>
    <x:row r="32" spans="1:10">
      <x:c r="B32" s="0" t="s">
        <x:v>27</x:v>
      </x:c>
      <x:c r="C32" s="0" t="n">
        <x:v>820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227</x:v>
      </x:c>
      <x:c r="G42" s="0" t="n">
        <x:v>42551</x:v>
      </x:c>
    </x:row>
    <x:row r="43" spans="1:10">
      <x:c r="B43" s="0" t="s">
        <x:v>41</x:v>
      </x:c>
      <x:c r="C43" s="0" t="s">
        <x:v>42</x:v>
      </x:c>
      <x:c r="E43" s="0" t="s">
        <x:v>228</x:v>
      </x:c>
      <x:c r="G43" s="0" t="n">
        <x:v>38347</x:v>
      </x:c>
    </x:row>
    <x:row r="44" spans="1:10">
      <x:c r="B44" s="0" t="s">
        <x:v>44</x:v>
      </x:c>
      <x:c r="C44" s="0" t="n">
        <x:v>4204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229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13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79358</x:v>
      </x:c>
      <x:c r="F12" s="0" t="n">
        <x:v>71454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181</x:v>
      </x:c>
      <x:c r="F14" s="0" t="n">
        <x:v>76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53377</x:v>
      </x:c>
      <x:c r="F18" s="0" t="n">
        <x:v>51064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571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J22-94</x:f>
      </x:c>
    </x:row>
    <x:row r="29" spans="1:10">
      <x:c r="B29" s="0" t="s">
        <x:v>25</x:v>
      </x:c>
      <x:c r="C29" s="0" t="n">
        <x:v>2</x:v>
      </x:c>
    </x:row>
    <x:row r="31" spans="1:10">
      <x:c r="A31" s="0" t="s">
        <x:v>26</x:v>
      </x:c>
      <x:c r="C31" s="0" t="n">
        <x:v>172</x:v>
      </x:c>
    </x:row>
    <x:row r="32" spans="1:10">
      <x:c r="B32" s="0" t="s">
        <x:v>27</x:v>
      </x:c>
      <x:c r="C32" s="0" t="n">
        <x:v>877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230</x:v>
      </x:c>
      <x:c r="G42" s="0" t="n">
        <x:v>50156</x:v>
      </x:c>
    </x:row>
    <x:row r="43" spans="1:10">
      <x:c r="B43" s="0" t="s">
        <x:v>41</x:v>
      </x:c>
      <x:c r="C43" s="0" t="s">
        <x:v>39</x:v>
      </x:c>
      <x:c r="E43" s="0" t="s">
        <x:v>231</x:v>
      </x:c>
      <x:c r="G43" s="0" t="n">
        <x:v>30042</x:v>
      </x:c>
    </x:row>
    <x:row r="44" spans="1:10">
      <x:c r="B44" s="0" t="s">
        <x:v>44</x:v>
      </x:c>
      <x:c r="C44" s="0" t="n">
        <x:v>20114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51612</x:v>
      </x:c>
      <x:c r="F12" s="0" t="n">
        <x:v>47675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1822</x:v>
      </x:c>
      <x:c r="F14" s="0" t="n">
        <x:v>630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29776</x:v>
      </x:c>
      <x:c r="F18" s="0" t="n">
        <x:v>31402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2754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525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J22-525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198</x:v>
      </x:c>
    </x:row>
    <x:row r="32" spans="1:10">
      <x:c r="B32" s="0" t="s">
        <x:v>27</x:v>
      </x:c>
      <x:c r="C32" s="0" t="n">
        <x:v>501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52</x:v>
      </x:c>
      <x:c r="G42" s="0" t="n">
        <x:v>29676</x:v>
      </x:c>
    </x:row>
    <x:row r="43" spans="1:10">
      <x:c r="B43" s="0" t="s">
        <x:v>41</x:v>
      </x:c>
      <x:c r="C43" s="0" t="s">
        <x:v>39</x:v>
      </x:c>
      <x:c r="E43" s="0" t="s">
        <x:v>53</x:v>
      </x:c>
      <x:c r="G43" s="0" t="n">
        <x:v>24042</x:v>
      </x:c>
    </x:row>
    <x:row r="44" spans="1:10">
      <x:c r="B44" s="0" t="s">
        <x:v>44</x:v>
      </x:c>
      <x:c r="C44" s="0" t="n">
        <x:v>5634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50706</x:v>
      </x:c>
      <x:c r="F12" s="0" t="n">
        <x:v>47835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3125</x:v>
      </x:c>
      <x:c r="F14" s="0" t="n">
        <x:v>1367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26174</x:v>
      </x:c>
      <x:c r="F18" s="0" t="n">
        <x:v>31021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2553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837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J22-837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178</x:v>
      </x:c>
    </x:row>
    <x:row r="32" spans="1:10">
      <x:c r="B32" s="0" t="s">
        <x:v>27</x:v>
      </x:c>
      <x:c r="C32" s="0" t="n">
        <x:v>554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55</x:v>
      </x:c>
      <x:c r="G42" s="0" t="n">
        <x:v>25931</x:v>
      </x:c>
    </x:row>
    <x:row r="43" spans="1:10">
      <x:c r="B43" s="0" t="s">
        <x:v>41</x:v>
      </x:c>
      <x:c r="C43" s="0" t="s">
        <x:v>39</x:v>
      </x:c>
      <x:c r="E43" s="0" t="s">
        <x:v>56</x:v>
      </x:c>
      <x:c r="G43" s="0" t="n">
        <x:v>21073</x:v>
      </x:c>
    </x:row>
    <x:row r="44" spans="1:10">
      <x:c r="B44" s="0" t="s">
        <x:v>44</x:v>
      </x:c>
      <x:c r="C44" s="0" t="n">
        <x:v>4921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57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46268</x:v>
      </x:c>
      <x:c r="F12" s="0" t="n">
        <x:v>45581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3315</x:v>
      </x:c>
      <x:c r="F14" s="0" t="n">
        <x:v>1415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23740</x:v>
      </x:c>
      <x:c r="F18" s="0" t="n">
        <x:v>30424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311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169</x:v>
      </x:c>
    </x:row>
    <x:row r="32" spans="1:10">
      <x:c r="B32" s="0" t="s">
        <x:v>27</x:v>
      </x:c>
      <x:c r="C32" s="0" t="n">
        <x:v>543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42803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58</x:v>
      </x:c>
      <x:c r="G42" s="0" t="n">
        <x:v>28159</x:v>
      </x:c>
    </x:row>
    <x:row r="43" spans="1:10">
      <x:c r="B43" s="0" t="s">
        <x:v>41</x:v>
      </x:c>
      <x:c r="C43" s="0" t="s">
        <x:v>39</x:v>
      </x:c>
      <x:c r="E43" s="0" t="s">
        <x:v>59</x:v>
      </x:c>
      <x:c r="G43" s="0" t="n">
        <x:v>20610</x:v>
      </x:c>
    </x:row>
    <x:row r="44" spans="1:10">
      <x:c r="B44" s="0" t="s">
        <x:v>44</x:v>
      </x:c>
      <x:c r="C44" s="0" t="n">
        <x:v>7549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40738</x:v>
      </x:c>
      <x:c r="F12" s="0" t="n">
        <x:v>42055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2341</x:v>
      </x:c>
      <x:c r="F14" s="0" t="n">
        <x:v>1001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23576</x:v>
      </x:c>
      <x:c r="F18" s="0" t="n">
        <x:v>30191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2886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449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J22-449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149</x:v>
      </x:c>
    </x:row>
    <x:row r="32" spans="1:10">
      <x:c r="B32" s="0" t="s">
        <x:v>27</x:v>
      </x:c>
      <x:c r="C32" s="0" t="n">
        <x:v>556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61</x:v>
      </x:c>
      <x:c r="G42" s="0" t="n">
        <x:v>13906</x:v>
      </x:c>
    </x:row>
    <x:row r="43" spans="1:10">
      <x:c r="B43" s="0" t="s">
        <x:v>41</x:v>
      </x:c>
      <x:c r="C43" s="0" t="s">
        <x:v>62</x:v>
      </x:c>
      <x:c r="E43" s="0" t="s">
        <x:v>63</x:v>
      </x:c>
      <x:c r="G43" s="0" t="n">
        <x:v>13037</x:v>
      </x:c>
    </x:row>
    <x:row r="44" spans="1:10">
      <x:c r="B44" s="0" t="s">
        <x:v>44</x:v>
      </x:c>
      <x:c r="C44" s="0" t="n">
        <x:v>869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48687</x:v>
      </x:c>
      <x:c r="F12" s="0" t="n">
        <x:v>47882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1475</x:v>
      </x:c>
      <x:c r="F14" s="0" t="n">
        <x:v>613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23471</x:v>
      </x:c>
      <x:c r="F18" s="0" t="n">
        <x:v>32988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2029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312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J22-312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163</x:v>
      </x:c>
    </x:row>
    <x:row r="32" spans="1:10">
      <x:c r="B32" s="0" t="s">
        <x:v>27</x:v>
      </x:c>
      <x:c r="C32" s="0" t="n">
        <x:v>592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65</x:v>
      </x:c>
      <x:c r="G42" s="0" t="n">
        <x:v>29333</x:v>
      </x:c>
    </x:row>
    <x:row r="43" spans="1:10">
      <x:c r="B43" s="0" t="s">
        <x:v>41</x:v>
      </x:c>
      <x:c r="C43" s="0" t="s">
        <x:v>39</x:v>
      </x:c>
      <x:c r="E43" s="0" t="s">
        <x:v>66</x:v>
      </x:c>
      <x:c r="G43" s="0" t="n">
        <x:v>14701</x:v>
      </x:c>
    </x:row>
    <x:row r="44" spans="1:10">
      <x:c r="B44" s="0" t="s">
        <x:v>44</x:v>
      </x:c>
      <x:c r="C44" s="0" t="n">
        <x:v>14632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67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46352</x:v>
      </x:c>
      <x:c r="F12" s="0" t="n">
        <x:v>44372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547</x:v>
      </x:c>
      <x:c r="F14" s="0" t="n">
        <x:v>98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17683</x:v>
      </x:c>
      <x:c r="F18" s="0" t="n">
        <x:v>26579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683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152</x:v>
      </x:c>
    </x:row>
    <x:row r="32" spans="1:10">
      <x:c r="B32" s="0" t="s">
        <x:v>27</x:v>
      </x:c>
      <x:c r="C32" s="0" t="n">
        <x:v>597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68</x:v>
      </x:c>
      <x:c r="G42" s="0" t="n">
        <x:v>22103</x:v>
      </x:c>
    </x:row>
    <x:row r="43" spans="1:10">
      <x:c r="B43" s="0" t="s">
        <x:v>41</x:v>
      </x:c>
      <x:c r="C43" s="0" t="s">
        <x:v>62</x:v>
      </x:c>
      <x:c r="E43" s="0" t="s">
        <x:v>69</x:v>
      </x:c>
      <x:c r="G43" s="0" t="n">
        <x:v>10450</x:v>
      </x:c>
    </x:row>
    <x:row r="44" spans="1:10">
      <x:c r="B44" s="0" t="s">
        <x:v>44</x:v>
      </x:c>
      <x:c r="C44" s="0" t="n">
        <x:v>11653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57774</x:v>
      </x:c>
      <x:c r="F12" s="0" t="n">
        <x:v>50834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387</x:v>
      </x:c>
      <x:c r="F14" s="0" t="n">
        <x:v>206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39518</x:v>
      </x:c>
      <x:c r="F18" s="0" t="n">
        <x:v>37125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567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128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J22-128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135</x:v>
      </x:c>
    </x:row>
    <x:row r="32" spans="1:10">
      <x:c r="B32" s="0" t="s">
        <x:v>27</x:v>
      </x:c>
      <x:c r="C32" s="0" t="n">
        <x:v>805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89</x:v>
      </x:c>
      <x:c r="G42" s="0" t="n">
        <x:v>38895</x:v>
      </x:c>
    </x:row>
    <x:row r="43" spans="1:10">
      <x:c r="B43" s="0" t="s">
        <x:v>41</x:v>
      </x:c>
      <x:c r="C43" s="0" t="s">
        <x:v>39</x:v>
      </x:c>
      <x:c r="E43" s="0" t="s">
        <x:v>90</x:v>
      </x:c>
      <x:c r="G43" s="0" t="n">
        <x:v>32477</x:v>
      </x:c>
    </x:row>
    <x:row r="44" spans="1:10">
      <x:c r="B44" s="0" t="s">
        <x:v>44</x:v>
      </x:c>
      <x:c r="C44" s="0" t="n">
        <x:v>6418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16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77398</x:v>
      </x:c>
      <x:c r="F12" s="0" t="n">
        <x:v>70516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990</x:v>
      </x:c>
      <x:c r="F14" s="0" t="n">
        <x:v>505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54825</x:v>
      </x:c>
      <x:c r="F18" s="0" t="n">
        <x:v>53478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703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229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J22-229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184</x:v>
      </x:c>
    </x:row>
    <x:row r="32" spans="1:10">
      <x:c r="B32" s="0" t="s">
        <x:v>27</x:v>
      </x:c>
      <x:c r="C32" s="0" t="n">
        <x:v>804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92</x:v>
      </x:c>
      <x:c r="G42" s="0" t="n">
        <x:v>44055</x:v>
      </x:c>
    </x:row>
    <x:row r="43" spans="1:10">
      <x:c r="B43" s="0" t="s">
        <x:v>41</x:v>
      </x:c>
      <x:c r="C43" s="0" t="s">
        <x:v>39</x:v>
      </x:c>
      <x:c r="E43" s="0" t="s">
        <x:v>93</x:v>
      </x:c>
      <x:c r="G43" s="0" t="n">
        <x:v>25192</x:v>
      </x:c>
    </x:row>
    <x:row r="44" spans="1:10">
      <x:c r="B44" s="0" t="s">
        <x:v>44</x:v>
      </x:c>
      <x:c r="C44" s="0" t="n">
        <x:v>18863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22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4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15</x:v>
      </x:c>
      <x:c r="F9" s="0" t="n">
        <x:v>1</x:v>
      </x:c>
      <x:c r="H9" s="0" t="n">
        <x:v>1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99808</x:v>
      </x:c>
      <x:c r="F12" s="0" t="n">
        <x:v>83609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713</x:v>
      </x:c>
      <x:c r="F14" s="0" t="n">
        <x:v>437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54921</x:v>
      </x:c>
      <x:c r="F18" s="0" t="n">
        <x:v>50146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1172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236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J22-236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196</x:v>
      </x:c>
    </x:row>
    <x:row r="32" spans="1:10">
      <x:c r="B32" s="0" t="s">
        <x:v>27</x:v>
      </x:c>
      <x:c r="C32" s="0" t="n">
        <x:v>936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95</x:v>
      </x:c>
      <x:c r="G42" s="0" t="n">
        <x:v>53828</x:v>
      </x:c>
    </x:row>
    <x:row r="43" spans="1:10">
      <x:c r="B43" s="0" t="s">
        <x:v>41</x:v>
      </x:c>
      <x:c r="C43" s="0" t="s">
        <x:v>39</x:v>
      </x:c>
      <x:c r="E43" s="0" t="s">
        <x:v>96</x:v>
      </x:c>
      <x:c r="G43" s="0" t="n">
        <x:v>42875</x:v>
      </x:c>
    </x:row>
    <x:row r="44" spans="1:10">
      <x:c r="B44" s="0" t="s">
        <x:v>44</x:v>
      </x:c>
      <x:c r="C44" s="0" t="n">
        <x:v>10953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97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15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12</x:v>
      </x:c>
      <x:c r="F9" s="0" t="n">
        <x:v>4</x:v>
      </x:c>
      <x:c r="H9" s="0" t="n">
        <x:v>1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86767</x:v>
      </x:c>
      <x:c r="F12" s="0" t="n">
        <x:v>77213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649</x:v>
      </x:c>
      <x:c r="F14" s="0" t="n">
        <x:v>348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49348</x:v>
      </x:c>
      <x:c r="F18" s="0" t="n">
        <x:v>48237</x:v>
      </x:c>
      <x:c r="H18" s="0" t="n">
        <x:v>6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1029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222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J22-222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190</x:v>
      </x:c>
    </x:row>
    <x:row r="32" spans="1:10">
      <x:c r="B32" s="0" t="s">
        <x:v>27</x:v>
      </x:c>
      <x:c r="C32" s="0" t="n">
        <x:v>863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98</x:v>
      </x:c>
      <x:c r="G42" s="0" t="n">
        <x:v>59764</x:v>
      </x:c>
    </x:row>
    <x:row r="43" spans="1:10">
      <x:c r="B43" s="0" t="s">
        <x:v>41</x:v>
      </x:c>
      <x:c r="C43" s="0" t="s">
        <x:v>39</x:v>
      </x:c>
      <x:c r="E43" s="0" t="s">
        <x:v>99</x:v>
      </x:c>
      <x:c r="G43" s="0" t="n">
        <x:v>22993</x:v>
      </x:c>
    </x:row>
    <x:row r="44" spans="1:10">
      <x:c r="B44" s="0" t="s">
        <x:v>44</x:v>
      </x:c>
      <x:c r="C44" s="0" t="n">
        <x:v>36771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63454</x:v>
      </x:c>
      <x:c r="F12" s="0" t="n">
        <x:v>56065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175</x:v>
      </x:c>
      <x:c r="F14" s="0" t="n">
        <x:v>99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36451</x:v>
      </x:c>
      <x:c r="F18" s="0" t="n">
        <x:v>32696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348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150</x:v>
      </x:c>
    </x:row>
    <x:row r="32" spans="1:10">
      <x:c r="B32" s="0" t="s">
        <x:v>27</x:v>
      </x:c>
      <x:c r="C32" s="0" t="n">
        <x:v>797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101</x:v>
      </x:c>
      <x:c r="G42" s="0" t="n">
        <x:v>36601</x:v>
      </x:c>
    </x:row>
    <x:row r="43" spans="1:10">
      <x:c r="B43" s="0" t="s">
        <x:v>41</x:v>
      </x:c>
      <x:c r="C43" s="0" t="s">
        <x:v>39</x:v>
      </x:c>
      <x:c r="E43" s="0" t="s">
        <x:v>102</x:v>
      </x:c>
      <x:c r="G43" s="0" t="n">
        <x:v>27969</x:v>
      </x:c>
    </x:row>
    <x:row r="44" spans="1:10">
      <x:c r="B44" s="0" t="s">
        <x:v>44</x:v>
      </x:c>
      <x:c r="C44" s="0" t="n">
        <x:v>8632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67826</x:v>
      </x:c>
      <x:c r="F12" s="0" t="n">
        <x:v>59021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499</x:v>
      </x:c>
      <x:c r="F14" s="0" t="n">
        <x:v>274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37299</x:v>
      </x:c>
      <x:c r="F18" s="0" t="n">
        <x:v>35061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568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90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J22-90</x:f>
      </x:c>
    </x:row>
    <x:row r="29" spans="1:10">
      <x:c r="B29" s="0" t="s">
        <x:v>25</x:v>
      </x:c>
      <x:c r="C29" s="0" t="n">
        <x:v>2</x:v>
      </x:c>
    </x:row>
    <x:row r="31" spans="1:10">
      <x:c r="A31" s="0" t="s">
        <x:v>26</x:v>
      </x:c>
      <x:c r="C31" s="0" t="n">
        <x:v>137</x:v>
      </x:c>
    </x:row>
    <x:row r="32" spans="1:10">
      <x:c r="B32" s="0" t="s">
        <x:v>27</x:v>
      </x:c>
      <x:c r="C32" s="0" t="n">
        <x:v>926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104</x:v>
      </x:c>
      <x:c r="G42" s="0" t="n">
        <x:v>41142</x:v>
      </x:c>
    </x:row>
    <x:row r="43" spans="1:10">
      <x:c r="B43" s="0" t="s">
        <x:v>41</x:v>
      </x:c>
      <x:c r="C43" s="0" t="s">
        <x:v>39</x:v>
      </x:c>
      <x:c r="E43" s="0" t="s">
        <x:v>105</x:v>
      </x:c>
      <x:c r="G43" s="0" t="n">
        <x:v>24472</x:v>
      </x:c>
    </x:row>
    <x:row r="44" spans="1:10">
      <x:c r="B44" s="0" t="s">
        <x:v>44</x:v>
      </x:c>
      <x:c r="C44" s="0" t="n">
        <x:v>16670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67776</x:v>
      </x:c>
      <x:c r="F12" s="0" t="n">
        <x:v>60608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1359</x:v>
      </x:c>
      <x:c r="F14" s="0" t="n">
        <x:v>742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38413</x:v>
      </x:c>
      <x:c r="F18" s="0" t="n">
        <x:v>36739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603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184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J22-184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164</x:v>
      </x:c>
    </x:row>
    <x:row r="32" spans="1:10">
      <x:c r="B32" s="0" t="s">
        <x:v>27</x:v>
      </x:c>
      <x:c r="C32" s="0" t="n">
        <x:v>783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107</x:v>
      </x:c>
      <x:c r="G42" s="0" t="n">
        <x:v>41322</x:v>
      </x:c>
    </x:row>
    <x:row r="43" spans="1:10">
      <x:c r="B43" s="0" t="s">
        <x:v>41</x:v>
      </x:c>
      <x:c r="C43" s="0" t="s">
        <x:v>39</x:v>
      </x:c>
      <x:c r="E43" s="0" t="s">
        <x:v>108</x:v>
      </x:c>
      <x:c r="G43" s="0" t="n">
        <x:v>29245</x:v>
      </x:c>
    </x:row>
    <x:row r="44" spans="1:10">
      <x:c r="B44" s="0" t="s">
        <x:v>44</x:v>
      </x:c>
      <x:c r="C44" s="0" t="n">
        <x:v>12077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109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73270</x:v>
      </x:c>
      <x:c r="F12" s="0" t="n">
        <x:v>68119</x:v>
      </x:c>
      <x:c r="H12" s="0" t="n">
        <x:v>4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819</x:v>
      </x:c>
      <x:c r="F14" s="0" t="n">
        <x:v>448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47660</x:v>
      </x:c>
      <x:c r="F18" s="0" t="n">
        <x:v>48400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719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J22-10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173</x:v>
      </x:c>
    </x:row>
    <x:row r="32" spans="1:10">
      <x:c r="B32" s="0" t="s">
        <x:v>27</x:v>
      </x:c>
      <x:c r="C32" s="0" t="n">
        <x:v>817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110</x:v>
      </x:c>
      <x:c r="G42" s="0" t="n">
        <x:v>58502</x:v>
      </x:c>
    </x:row>
    <x:row r="43" spans="1:10">
      <x:c r="B43" s="0" t="s">
        <x:v>41</x:v>
      </x:c>
      <x:c r="C43" s="0" t="s">
        <x:v>39</x:v>
      </x:c>
      <x:c r="E43" s="0" t="s">
        <x:v>111</x:v>
      </x:c>
      <x:c r="G43" s="0" t="n">
        <x:v>33633</x:v>
      </x:c>
    </x:row>
    <x:row r="44" spans="1:10">
      <x:c r="B44" s="0" t="s">
        <x:v>44</x:v>
      </x:c>
      <x:c r="C44" s="0" t="n">
        <x:v>24869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79258</x:v>
      </x:c>
      <x:c r="F12" s="0" t="n">
        <x:v>71790</x:v>
      </x:c>
      <x:c r="H12" s="0" t="n">
        <x:v>3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602</x:v>
      </x:c>
      <x:c r="F14" s="0" t="n">
        <x:v>344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48499</x:v>
      </x:c>
      <x:c r="F18" s="0" t="n">
        <x:v>49438</x:v>
      </x:c>
      <x:c r="H18" s="0" t="n">
        <x:v>2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547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138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J22-138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180</x:v>
      </x:c>
    </x:row>
    <x:row r="32" spans="1:10">
      <x:c r="B32" s="0" t="s">
        <x:v>27</x:v>
      </x:c>
      <x:c r="C32" s="0" t="n">
        <x:v>839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113</x:v>
      </x:c>
      <x:c r="G42" s="0" t="n">
        <x:v>45082</x:v>
      </x:c>
    </x:row>
    <x:row r="43" spans="1:10">
      <x:c r="B43" s="0" t="s">
        <x:v>41</x:v>
      </x:c>
      <x:c r="C43" s="0" t="s">
        <x:v>39</x:v>
      </x:c>
      <x:c r="E43" s="0" t="s">
        <x:v>114</x:v>
      </x:c>
      <x:c r="G43" s="0" t="n">
        <x:v>30281</x:v>
      </x:c>
    </x:row>
    <x:row r="44" spans="1:10">
      <x:c r="B44" s="0" t="s">
        <x:v>44</x:v>
      </x:c>
      <x:c r="C44" s="0" t="n">
        <x:v>14801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115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79159</x:v>
      </x:c>
      <x:c r="F12" s="0" t="n">
        <x:v>64261</x:v>
      </x:c>
      <x:c r="H12" s="0" t="n">
        <x:v>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60</x:v>
      </x:c>
      <x:c r="F14" s="0" t="n">
        <x:v>30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50565</x:v>
      </x:c>
      <x:c r="F18" s="0" t="n">
        <x:v>42682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434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132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J22-132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175</x:v>
      </x:c>
    </x:row>
    <x:row r="32" spans="1:10">
      <x:c r="B32" s="0" t="s">
        <x:v>27</x:v>
      </x:c>
      <x:c r="C32" s="0" t="n">
        <x:v>820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116</x:v>
      </x:c>
      <x:c r="G42" s="0" t="n">
        <x:v>61742</x:v>
      </x:c>
    </x:row>
    <x:row r="43" spans="1:10">
      <x:c r="B43" s="0" t="s">
        <x:v>41</x:v>
      </x:c>
      <x:c r="C43" s="0" t="s">
        <x:v>39</x:v>
      </x:c>
      <x:c r="E43" s="0" t="s">
        <x:v>117</x:v>
      </x:c>
      <x:c r="G43" s="0" t="n">
        <x:v>25815</x:v>
      </x:c>
    </x:row>
    <x:row r="44" spans="1:10">
      <x:c r="B44" s="0" t="s">
        <x:v>44</x:v>
      </x:c>
      <x:c r="C44" s="0" t="n">
        <x:v>35927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136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72063</x:v>
      </x:c>
      <x:c r="F12" s="0" t="n">
        <x:v>62984</x:v>
      </x:c>
      <x:c r="H12" s="0" t="n">
        <x:v>7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339</x:v>
      </x:c>
      <x:c r="F14" s="0" t="n">
        <x:v>219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56712</x:v>
      </x:c>
      <x:c r="F18" s="0" t="n">
        <x:v>50206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218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169</x:v>
      </x:c>
    </x:row>
    <x:row r="32" spans="1:10">
      <x:c r="B32" s="0" t="s">
        <x:v>27</x:v>
      </x:c>
      <x:c r="C32" s="0" t="n">
        <x:v>799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137</x:v>
      </x:c>
      <x:c r="G42" s="0" t="n">
        <x:v>53192</x:v>
      </x:c>
    </x:row>
    <x:row r="43" spans="1:10">
      <x:c r="B43" s="0" t="s">
        <x:v>41</x:v>
      </x:c>
      <x:c r="C43" s="0" t="s">
        <x:v>138</x:v>
      </x:c>
      <x:c r="E43" s="0" t="s">
        <x:v>139</x:v>
      </x:c>
      <x:c r="G43" s="0" t="n">
        <x:v>39457</x:v>
      </x:c>
    </x:row>
    <x:row r="44" spans="1:10">
      <x:c r="B44" s="0" t="s">
        <x:v>44</x:v>
      </x:c>
      <x:c r="C44" s="0" t="n">
        <x:v>13735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140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56278</x:v>
      </x:c>
      <x:c r="F12" s="0" t="n">
        <x:v>47341</x:v>
      </x:c>
      <x:c r="H12" s="0" t="n">
        <x:v>19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114</x:v>
      </x:c>
      <x:c r="F14" s="0" t="n">
        <x:v>50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44316</x:v>
      </x:c>
      <x:c r="F18" s="0" t="n">
        <x:v>36704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251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128</x:v>
      </x:c>
    </x:row>
    <x:row r="32" spans="1:10">
      <x:c r="B32" s="0" t="s">
        <x:v>27</x:v>
      </x:c>
      <x:c r="C32" s="0" t="n">
        <x:v>810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141</x:v>
      </x:c>
      <x:c r="G42" s="0" t="n">
        <x:v>31352</x:v>
      </x:c>
    </x:row>
    <x:row r="43" spans="1:10">
      <x:c r="B43" s="0" t="s">
        <x:v>41</x:v>
      </x:c>
      <x:c r="C43" s="0" t="s">
        <x:v>138</x:v>
      </x:c>
      <x:c r="E43" s="0" t="s">
        <x:v>142</x:v>
      </x:c>
      <x:c r="G43" s="0" t="n">
        <x:v>28684</x:v>
      </x:c>
    </x:row>
    <x:row r="44" spans="1:10">
      <x:c r="B44" s="0" t="s">
        <x:v>44</x:v>
      </x:c>
      <x:c r="C44" s="0" t="n">
        <x:v>2668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143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51236</x:v>
      </x:c>
      <x:c r="F12" s="0" t="n">
        <x:v>43952</x:v>
      </x:c>
      <x:c r="H12" s="0" t="n">
        <x:v>6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56</x:v>
      </x:c>
      <x:c r="F14" s="0" t="n">
        <x:v>24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42189</x:v>
      </x:c>
      <x:c r="F18" s="0" t="n">
        <x:v>35743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143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123</x:v>
      </x:c>
    </x:row>
    <x:row r="32" spans="1:10">
      <x:c r="B32" s="0" t="s">
        <x:v>27</x:v>
      </x:c>
      <x:c r="C32" s="0" t="n">
        <x:v>774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144</x:v>
      </x:c>
      <x:c r="G42" s="0" t="n">
        <x:v>25248</x:v>
      </x:c>
    </x:row>
    <x:row r="43" spans="1:10">
      <x:c r="B43" s="0" t="s">
        <x:v>41</x:v>
      </x:c>
      <x:c r="C43" s="0" t="s">
        <x:v>39</x:v>
      </x:c>
      <x:c r="E43" s="0" t="s">
        <x:v>145</x:v>
      </x:c>
      <x:c r="G43" s="0" t="n">
        <x:v>23644</x:v>
      </x:c>
    </x:row>
    <x:row r="44" spans="1:10">
      <x:c r="B44" s="0" t="s">
        <x:v>44</x:v>
      </x:c>
      <x:c r="C44" s="0" t="n">
        <x:v>1604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146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64073</x:v>
      </x:c>
      <x:c r="F12" s="0" t="n">
        <x:v>55963</x:v>
      </x:c>
      <x:c r="H12" s="0" t="n">
        <x:v>8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97</x:v>
      </x:c>
      <x:c r="F14" s="0" t="n">
        <x:v>54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52005</x:v>
      </x:c>
      <x:c r="F18" s="0" t="n">
        <x:v>46063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205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153</x:v>
      </x:c>
    </x:row>
    <x:row r="32" spans="1:10">
      <x:c r="B32" s="0" t="s">
        <x:v>27</x:v>
      </x:c>
      <x:c r="C32" s="0" t="n">
        <x:v>785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147</x:v>
      </x:c>
      <x:c r="G42" s="0" t="n">
        <x:v>44964</x:v>
      </x:c>
    </x:row>
    <x:row r="43" spans="1:10">
      <x:c r="B43" s="0" t="s">
        <x:v>41</x:v>
      </x:c>
      <x:c r="C43" s="0" t="s">
        <x:v>39</x:v>
      </x:c>
      <x:c r="E43" s="0" t="s">
        <x:v>148</x:v>
      </x:c>
      <x:c r="G43" s="0" t="n">
        <x:v>32686</x:v>
      </x:c>
    </x:row>
    <x:row r="44" spans="1:10">
      <x:c r="B44" s="0" t="s">
        <x:v>44</x:v>
      </x:c>
      <x:c r="C44" s="0" t="n">
        <x:v>12278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149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43926</x:v>
      </x:c>
      <x:c r="F12" s="0" t="n">
        <x:v>39571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2320</x:v>
      </x:c>
      <x:c r="F14" s="0" t="n">
        <x:v>956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21032</x:v>
      </x:c>
      <x:c r="F18" s="0" t="n">
        <x:v>23550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1573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424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J22-424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167</x:v>
      </x:c>
    </x:row>
    <x:row r="32" spans="1:10">
      <x:c r="B32" s="0" t="s">
        <x:v>27</x:v>
      </x:c>
      <x:c r="C32" s="0" t="n">
        <x:v>500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150</x:v>
      </x:c>
      <x:c r="G42" s="0" t="n">
        <x:v>19671</x:v>
      </x:c>
    </x:row>
    <x:row r="43" spans="1:10">
      <x:c r="B43" s="0" t="s">
        <x:v>41</x:v>
      </x:c>
      <x:c r="C43" s="0" t="s">
        <x:v>62</x:v>
      </x:c>
      <x:c r="E43" s="0" t="s">
        <x:v>151</x:v>
      </x:c>
      <x:c r="G43" s="0" t="n">
        <x:v>10689</x:v>
      </x:c>
    </x:row>
    <x:row r="44" spans="1:10">
      <x:c r="B44" s="0" t="s">
        <x:v>44</x:v>
      </x:c>
      <x:c r="C44" s="0" t="n">
        <x:v>8982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152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45753</x:v>
      </x:c>
      <x:c r="F12" s="0" t="n">
        <x:v>45910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1635</x:v>
      </x:c>
      <x:c r="F14" s="0" t="n">
        <x:v>575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20731</x:v>
      </x:c>
      <x:c r="F18" s="0" t="n">
        <x:v>26522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1809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411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J22-411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154</x:v>
      </x:c>
    </x:row>
    <x:row r="32" spans="1:10">
      <x:c r="B32" s="0" t="s">
        <x:v>27</x:v>
      </x:c>
      <x:c r="C32" s="0" t="n">
        <x:v>595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153</x:v>
      </x:c>
      <x:c r="G42" s="0" t="n">
        <x:v>26469</x:v>
      </x:c>
    </x:row>
    <x:row r="43" spans="1:10">
      <x:c r="B43" s="0" t="s">
        <x:v>41</x:v>
      </x:c>
      <x:c r="C43" s="0" t="s">
        <x:v>39</x:v>
      </x:c>
      <x:c r="E43" s="0" t="s">
        <x:v>154</x:v>
      </x:c>
      <x:c r="G43" s="0" t="n">
        <x:v>19439</x:v>
      </x:c>
    </x:row>
    <x:row r="44" spans="1:10">
      <x:c r="B44" s="0" t="s">
        <x:v>44</x:v>
      </x:c>
      <x:c r="C44" s="0" t="n">
        <x:v>7030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155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52133</x:v>
      </x:c>
      <x:c r="F12" s="0" t="n">
        <x:v>50189</x:v>
      </x:c>
      <x:c r="H12" s="0" t="n">
        <x:v>2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2093</x:v>
      </x:c>
      <x:c r="F14" s="0" t="n">
        <x:v>873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25492</x:v>
      </x:c>
      <x:c r="F18" s="0" t="n">
        <x:v>33262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1901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J22-515</x:f>
      </x:c>
    </x:row>
    <x:row r="29" spans="1:10">
      <x:c r="B29" s="0" t="s">
        <x:v>25</x:v>
      </x:c>
      <x:c r="C29" s="0" t="n">
        <x:v>1</x:v>
      </x:c>
    </x:row>
    <x:row r="31" spans="1:10">
      <x:c r="A31" s="0" t="s">
        <x:v>26</x:v>
      </x:c>
      <x:c r="C31" s="0" t="n">
        <x:v>156</x:v>
      </x:c>
    </x:row>
    <x:row r="32" spans="1:10">
      <x:c r="B32" s="0" t="s">
        <x:v>27</x:v>
      </x:c>
      <x:c r="C32" s="0" t="n">
        <x:v>656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156</x:v>
      </x:c>
      <x:c r="G42" s="0" t="n">
        <x:v>30816</x:v>
      </x:c>
    </x:row>
    <x:row r="43" spans="1:10">
      <x:c r="B43" s="0" t="s">
        <x:v>41</x:v>
      </x:c>
      <x:c r="C43" s="0" t="s">
        <x:v>39</x:v>
      </x:c>
      <x:c r="E43" s="0" t="s">
        <x:v>157</x:v>
      </x:c>
      <x:c r="G43" s="0" t="n">
        <x:v>22118</x:v>
      </x:c>
    </x:row>
    <x:row r="44" spans="1:10">
      <x:c r="B44" s="0" t="s">
        <x:v>44</x:v>
      </x:c>
      <x:c r="C44" s="0" t="n">
        <x:v>8698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158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11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43663</x:v>
      </x:c>
      <x:c r="F12" s="0" t="n">
        <x:v>44326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3587</x:v>
      </x:c>
      <x:c r="F14" s="0" t="n">
        <x:v>1034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17563</x:v>
      </x:c>
      <x:c r="F18" s="0" t="n">
        <x:v>23787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2092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592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J22-592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157</x:v>
      </x:c>
    </x:row>
    <x:row r="32" spans="1:10">
      <x:c r="B32" s="0" t="s">
        <x:v>27</x:v>
      </x:c>
      <x:c r="C32" s="0" t="n">
        <x:v>560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159</x:v>
      </x:c>
      <x:c r="G42" s="0" t="n">
        <x:v>20921</x:v>
      </x:c>
    </x:row>
    <x:row r="43" spans="1:10">
      <x:c r="B43" s="0" t="s">
        <x:v>41</x:v>
      </x:c>
      <x:c r="C43" s="0" t="s">
        <x:v>39</x:v>
      </x:c>
      <x:c r="E43" s="0" t="s">
        <x:v>160</x:v>
      </x:c>
      <x:c r="G43" s="0" t="n">
        <x:v>13567</x:v>
      </x:c>
    </x:row>
    <x:row r="44" spans="1:10">
      <x:c r="B44" s="0" t="s">
        <x:v>44</x:v>
      </x:c>
      <x:c r="C44" s="0" t="n">
        <x:v>7354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161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41844</x:v>
      </x:c>
      <x:c r="F12" s="0" t="n">
        <x:v>38107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3347</x:v>
      </x:c>
      <x:c r="F14" s="0" t="n">
        <x:v>1534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17362</x:v>
      </x:c>
      <x:c r="F18" s="0" t="n">
        <x:v>20974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2277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837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J22-837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133</x:v>
      </x:c>
    </x:row>
    <x:row r="32" spans="1:10">
      <x:c r="B32" s="0" t="s">
        <x:v>27</x:v>
      </x:c>
      <x:c r="C32" s="0" t="n">
        <x:v>601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162</x:v>
      </x:c>
      <x:c r="G42" s="0" t="n">
        <x:v>22246</x:v>
      </x:c>
    </x:row>
    <x:row r="43" spans="1:10">
      <x:c r="B43" s="0" t="s">
        <x:v>41</x:v>
      </x:c>
      <x:c r="C43" s="0" t="s">
        <x:v>39</x:v>
      </x:c>
      <x:c r="E43" s="0" t="s">
        <x:v>163</x:v>
      </x:c>
      <x:c r="G43" s="0" t="n">
        <x:v>15771</x:v>
      </x:c>
    </x:row>
    <x:row r="44" spans="1:10">
      <x:c r="B44" s="0" t="s">
        <x:v>44</x:v>
      </x:c>
      <x:c r="C44" s="0" t="n">
        <x:v>6475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164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2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51366</x:v>
      </x:c>
      <x:c r="F12" s="0" t="n">
        <x:v>49783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1652</x:v>
      </x:c>
      <x:c r="F14" s="0" t="n">
        <x:v>743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33133</x:v>
      </x:c>
      <x:c r="F18" s="0" t="n">
        <x:v>37007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966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113</x:v>
      </x:c>
    </x:row>
    <x:row r="32" spans="1:10">
      <x:c r="B32" s="0" t="s">
        <x:v>27</x:v>
      </x:c>
      <x:c r="C32" s="0" t="n">
        <x:v>895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165</x:v>
      </x:c>
      <x:c r="G42" s="0" t="n">
        <x:v>39859</x:v>
      </x:c>
    </x:row>
    <x:row r="43" spans="1:10">
      <x:c r="B43" s="0" t="s">
        <x:v>41</x:v>
      </x:c>
      <x:c r="C43" s="0" t="s">
        <x:v>39</x:v>
      </x:c>
      <x:c r="E43" s="0" t="s">
        <x:v>58</x:v>
      </x:c>
      <x:c r="G43" s="0" t="n">
        <x:v>28541</x:v>
      </x:c>
    </x:row>
    <x:row r="44" spans="1:10">
      <x:c r="B44" s="0" t="s">
        <x:v>44</x:v>
      </x:c>
      <x:c r="C44" s="0" t="n">
        <x:v>11318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184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2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43438</x:v>
      </x:c>
      <x:c r="F12" s="0" t="n">
        <x:v>46163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650</x:v>
      </x:c>
      <x:c r="F14" s="0" t="n">
        <x:v>368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18634</x:v>
      </x:c>
      <x:c r="F18" s="0" t="n">
        <x:v>27677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652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144</x:v>
      </x:c>
    </x:row>
    <x:row r="32" spans="1:10">
      <x:c r="B32" s="0" t="s">
        <x:v>27</x:v>
      </x:c>
      <x:c r="C32" s="0" t="n">
        <x:v>622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185</x:v>
      </x:c>
      <x:c r="G42" s="0" t="n">
        <x:v>20221</x:v>
      </x:c>
    </x:row>
    <x:row r="43" spans="1:10">
      <x:c r="B43" s="0" t="s">
        <x:v>41</x:v>
      </x:c>
      <x:c r="C43" s="0" t="s">
        <x:v>39</x:v>
      </x:c>
      <x:c r="E43" s="0" t="s">
        <x:v>186</x:v>
      </x:c>
      <x:c r="G43" s="0" t="n">
        <x:v>13628</x:v>
      </x:c>
    </x:row>
    <x:row r="44" spans="1:10">
      <x:c r="B44" s="0" t="s">
        <x:v>44</x:v>
      </x:c>
      <x:c r="C44" s="0" t="n">
        <x:v>6593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187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48392</x:v>
      </x:c>
      <x:c r="F12" s="0" t="n">
        <x:v>46764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356</x:v>
      </x:c>
      <x:c r="F14" s="0" t="n">
        <x:v>223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18282</x:v>
      </x:c>
      <x:c r="F18" s="0" t="n">
        <x:v>25239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523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149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J22-149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134</x:v>
      </x:c>
    </x:row>
    <x:row r="32" spans="1:10">
      <x:c r="B32" s="0" t="s">
        <x:v>27</x:v>
      </x:c>
      <x:c r="C32" s="0" t="n">
        <x:v>710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188</x:v>
      </x:c>
      <x:c r="G42" s="0" t="n">
        <x:v>21581</x:v>
      </x:c>
    </x:row>
    <x:row r="43" spans="1:10">
      <x:c r="B43" s="0" t="s">
        <x:v>41</x:v>
      </x:c>
      <x:c r="C43" s="0" t="s">
        <x:v>39</x:v>
      </x:c>
      <x:c r="E43" s="0" t="s">
        <x:v>189</x:v>
      </x:c>
      <x:c r="G43" s="0" t="n">
        <x:v>18677</x:v>
      </x:c>
    </x:row>
    <x:row r="44" spans="1:10">
      <x:c r="B44" s="0" t="s">
        <x:v>44</x:v>
      </x:c>
      <x:c r="C44" s="0" t="n">
        <x:v>2904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190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5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40214</x:v>
      </x:c>
      <x:c r="F12" s="0" t="n">
        <x:v>38363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615</x:v>
      </x:c>
      <x:c r="F14" s="0" t="n">
        <x:v>345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18246</x:v>
      </x:c>
      <x:c r="F18" s="0" t="n">
        <x:v>22211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716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133</x:v>
      </x:c>
    </x:row>
    <x:row r="32" spans="1:10">
      <x:c r="B32" s="0" t="s">
        <x:v>27</x:v>
      </x:c>
      <x:c r="C32" s="0" t="n">
        <x:v>591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191</x:v>
      </x:c>
      <x:c r="G42" s="0" t="n">
        <x:v>19035</x:v>
      </x:c>
    </x:row>
    <x:row r="43" spans="1:10">
      <x:c r="B43" s="0" t="s">
        <x:v>41</x:v>
      </x:c>
      <x:c r="C43" s="0" t="s">
        <x:v>42</x:v>
      </x:c>
      <x:c r="E43" s="0" t="s">
        <x:v>192</x:v>
      </x:c>
      <x:c r="G43" s="0" t="n">
        <x:v>14054</x:v>
      </x:c>
    </x:row>
    <x:row r="44" spans="1:10">
      <x:c r="B44" s="0" t="s">
        <x:v>44</x:v>
      </x:c>
      <x:c r="C44" s="0" t="n">
        <x:v>4981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193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5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43179</x:v>
      </x:c>
      <x:c r="F12" s="0" t="n">
        <x:v>41387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672</x:v>
      </x:c>
      <x:c r="F14" s="0" t="n">
        <x:v>359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19386</x:v>
      </x:c>
      <x:c r="F18" s="0" t="n">
        <x:v>26147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585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235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J22-235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139</x:v>
      </x:c>
    </x:row>
    <x:row r="32" spans="1:10">
      <x:c r="B32" s="0" t="s">
        <x:v>27</x:v>
      </x:c>
      <x:c r="C32" s="0" t="n">
        <x:v>608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194</x:v>
      </x:c>
      <x:c r="G42" s="0" t="n">
        <x:v>21780</x:v>
      </x:c>
    </x:row>
    <x:row r="43" spans="1:10">
      <x:c r="B43" s="0" t="s">
        <x:v>41</x:v>
      </x:c>
      <x:c r="C43" s="0" t="s">
        <x:v>39</x:v>
      </x:c>
      <x:c r="E43" s="0" t="s">
        <x:v>195</x:v>
      </x:c>
      <x:c r="G43" s="0" t="n">
        <x:v>21070</x:v>
      </x:c>
    </x:row>
    <x:row r="44" spans="1:10">
      <x:c r="B44" s="0" t="s">
        <x:v>44</x:v>
      </x:c>
      <x:c r="C44" s="0" t="n">
        <x:v>710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196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8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45276</x:v>
      </x:c>
      <x:c r="F12" s="0" t="n">
        <x:v>42681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599</x:v>
      </x:c>
      <x:c r="F14" s="0" t="n">
        <x:v>322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23678</x:v>
      </x:c>
      <x:c r="F18" s="0" t="n">
        <x:v>27327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1311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350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J22-350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140</x:v>
      </x:c>
    </x:row>
    <x:row r="32" spans="1:10">
      <x:c r="B32" s="0" t="s">
        <x:v>27</x:v>
      </x:c>
      <x:c r="C32" s="0" t="n">
        <x:v>628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197</x:v>
      </x:c>
      <x:c r="G42" s="0" t="n">
        <x:v>26464</x:v>
      </x:c>
    </x:row>
    <x:row r="43" spans="1:10">
      <x:c r="B43" s="0" t="s">
        <x:v>41</x:v>
      </x:c>
      <x:c r="C43" s="0" t="s">
        <x:v>39</x:v>
      </x:c>
      <x:c r="E43" s="0" t="s">
        <x:v>198</x:v>
      </x:c>
      <x:c r="G43" s="0" t="n">
        <x:v>21085</x:v>
      </x:c>
    </x:row>
    <x:row r="44" spans="1:10">
      <x:c r="B44" s="0" t="s">
        <x:v>44</x:v>
      </x:c>
      <x:c r="C44" s="0" t="n">
        <x:v>5379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199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4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46816</x:v>
      </x:c>
      <x:c r="F12" s="0" t="n">
        <x:v>42759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561</x:v>
      </x:c>
      <x:c r="F14" s="0" t="n">
        <x:v>252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22488</x:v>
      </x:c>
      <x:c r="F18" s="0" t="n">
        <x:v>28057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521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167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J22-167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173</x:v>
      </x:c>
    </x:row>
    <x:row r="32" spans="1:10">
      <x:c r="B32" s="0" t="s">
        <x:v>27</x:v>
      </x:c>
      <x:c r="C32" s="0" t="n">
        <x:v>518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200</x:v>
      </x:c>
      <x:c r="G42" s="0" t="n">
        <x:v>24132</x:v>
      </x:c>
    </x:row>
    <x:row r="43" spans="1:10">
      <x:c r="B43" s="0" t="s">
        <x:v>41</x:v>
      </x:c>
      <x:c r="C43" s="0" t="s">
        <x:v>42</x:v>
      </x:c>
      <x:c r="E43" s="0" t="s">
        <x:v>201</x:v>
      </x:c>
      <x:c r="G43" s="0" t="n">
        <x:v>23733</x:v>
      </x:c>
    </x:row>
    <x:row r="44" spans="1:10">
      <x:c r="B44" s="0" t="s">
        <x:v>44</x:v>
      </x:c>
      <x:c r="C44" s="0" t="n">
        <x:v>399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202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52871</x:v>
      </x:c>
      <x:c r="F12" s="0" t="n">
        <x:v>47778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1176</x:v>
      </x:c>
      <x:c r="F14" s="0" t="n">
        <x:v>564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25090</x:v>
      </x:c>
      <x:c r="F18" s="0" t="n">
        <x:v>32684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676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178</x:v>
      </x:c>
    </x:row>
    <x:row r="32" spans="1:10">
      <x:c r="B32" s="0" t="s">
        <x:v>27</x:v>
      </x:c>
      <x:c r="C32" s="0" t="n">
        <x:v>565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42809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203</x:v>
      </x:c>
      <x:c r="G42" s="0" t="n">
        <x:v>27685</x:v>
      </x:c>
    </x:row>
    <x:row r="43" spans="1:10">
      <x:c r="B43" s="0" t="s">
        <x:v>41</x:v>
      </x:c>
      <x:c r="C43" s="0" t="s">
        <x:v>39</x:v>
      </x:c>
      <x:c r="E43" s="0" t="s">
        <x:v>204</x:v>
      </x:c>
      <x:c r="G43" s="0" t="n">
        <x:v>26851</x:v>
      </x:c>
    </x:row>
    <x:row r="44" spans="1:10">
      <x:c r="B44" s="0" t="s">
        <x:v>44</x:v>
      </x:c>
      <x:c r="C44" s="0" t="n">
        <x:v>834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205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4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45751</x:v>
      </x:c>
      <x:c r="F12" s="0" t="n">
        <x:v>41546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963</x:v>
      </x:c>
      <x:c r="F14" s="0" t="n">
        <x:v>521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27489</x:v>
      </x:c>
      <x:c r="F18" s="0" t="n">
        <x:v>30473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1017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226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J22-226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142</x:v>
      </x:c>
    </x:row>
    <x:row r="32" spans="1:10">
      <x:c r="B32" s="0" t="s">
        <x:v>27</x:v>
      </x:c>
      <x:c r="C32" s="0" t="n">
        <x:v>615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206</x:v>
      </x:c>
      <x:c r="G42" s="0" t="n">
        <x:v>36601</x:v>
      </x:c>
    </x:row>
    <x:row r="43" spans="1:10">
      <x:c r="B43" s="0" t="s">
        <x:v>41</x:v>
      </x:c>
      <x:c r="C43" s="0" t="s">
        <x:v>39</x:v>
      </x:c>
      <x:c r="E43" s="0" t="s">
        <x:v>207</x:v>
      </x:c>
      <x:c r="G43" s="0" t="n">
        <x:v>19241</x:v>
      </x:c>
    </x:row>
    <x:row r="44" spans="1:10">
      <x:c r="B44" s="0" t="s">
        <x:v>44</x:v>
      </x:c>
      <x:c r="C44" s="0" t="n">
        <x:v>17360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208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6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58366</x:v>
      </x:c>
      <x:c r="F12" s="0" t="n">
        <x:v>52052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1005</x:v>
      </x:c>
      <x:c r="F14" s="0" t="n">
        <x:v>542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41424</x:v>
      </x:c>
      <x:c r="F18" s="0" t="n">
        <x:v>38994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611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217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J22-217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133</x:v>
      </x:c>
    </x:row>
    <x:row r="32" spans="1:10">
      <x:c r="B32" s="0" t="s">
        <x:v>27</x:v>
      </x:c>
      <x:c r="C32" s="0" t="n">
        <x:v>830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209</x:v>
      </x:c>
      <x:c r="G42" s="0" t="n">
        <x:v>44293</x:v>
      </x:c>
    </x:row>
    <x:row r="43" spans="1:10">
      <x:c r="B43" s="0" t="s">
        <x:v>41</x:v>
      </x:c>
      <x:c r="C43" s="0" t="s">
        <x:v>39</x:v>
      </x:c>
      <x:c r="E43" s="0" t="s">
        <x:v>210</x:v>
      </x:c>
      <x:c r="G43" s="0" t="n">
        <x:v>17185</x:v>
      </x:c>
    </x:row>
    <x:row r="44" spans="1:10">
      <x:c r="B44" s="0" t="s">
        <x:v>44</x:v>
      </x:c>
      <x:c r="C44" s="0" t="n">
        <x:v>27108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211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10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51458</x:v>
      </x:c>
      <x:c r="F12" s="0" t="n">
        <x:v>44211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720</x:v>
      </x:c>
      <x:c r="F14" s="0" t="n">
        <x:v>294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31851</x:v>
      </x:c>
      <x:c r="F18" s="0" t="n">
        <x:v>28947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575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143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J22-143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151</x:v>
      </x:c>
    </x:row>
    <x:row r="32" spans="1:10">
      <x:c r="B32" s="0" t="s">
        <x:v>27</x:v>
      </x:c>
      <x:c r="C32" s="0" t="n">
        <x:v>634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62</x:v>
      </x:c>
      <x:c r="E42" s="0" t="s">
        <x:v>212</x:v>
      </x:c>
      <x:c r="G42" s="0" t="n">
        <x:v>18878</x:v>
      </x:c>
    </x:row>
    <x:row r="43" spans="1:10">
      <x:c r="B43" s="0" t="s">
        <x:v>41</x:v>
      </x:c>
      <x:c r="C43" s="0" t="s">
        <x:v>42</x:v>
      </x:c>
      <x:c r="E43" s="0" t="s">
        <x:v>213</x:v>
      </x:c>
      <x:c r="G43" s="0" t="n">
        <x:v>15432</x:v>
      </x:c>
    </x:row>
    <x:row r="44" spans="1:10">
      <x:c r="B44" s="0" t="s">
        <x:v>44</x:v>
      </x:c>
      <x:c r="C44" s="0" t="n">
        <x:v>3446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232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5</x:v>
      </x:c>
      <x:c r="F5" s="0" t="n">
        <x:v>2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3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72057</x:v>
      </x:c>
      <x:c r="F12" s="0" t="n">
        <x:v>63675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337</x:v>
      </x:c>
      <x:c r="F14" s="0" t="n">
        <x:v>123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54868</x:v>
      </x:c>
      <x:c r="F18" s="0" t="n">
        <x:v>48960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409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45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J22-45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152</x:v>
      </x:c>
    </x:row>
    <x:row r="32" spans="1:10">
      <x:c r="B32" s="0" t="s">
        <x:v>27</x:v>
      </x:c>
      <x:c r="C32" s="0" t="n">
        <x:v>893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233</x:v>
      </x:c>
      <x:c r="G42" s="0" t="n">
        <x:v>54965</x:v>
      </x:c>
    </x:row>
    <x:row r="43" spans="1:10">
      <x:c r="B43" s="0" t="s">
        <x:v>41</x:v>
      </x:c>
      <x:c r="C43" s="0" t="s">
        <x:v>39</x:v>
      </x:c>
      <x:c r="E43" s="0" t="s">
        <x:v>234</x:v>
      </x:c>
      <x:c r="G43" s="0" t="n">
        <x:v>42329</x:v>
      </x:c>
    </x:row>
    <x:row r="44" spans="1:10">
      <x:c r="B44" s="0" t="s">
        <x:v>44</x:v>
      </x:c>
      <x:c r="C44" s="0" t="n">
        <x:v>12636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235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7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63975</x:v>
      </x:c>
      <x:c r="F12" s="0" t="n">
        <x:v>57001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262</x:v>
      </x:c>
      <x:c r="F14" s="0" t="n">
        <x:v>91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50990</x:v>
      </x:c>
      <x:c r="F18" s="0" t="n">
        <x:v>46786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371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145</x:v>
      </x:c>
    </x:row>
    <x:row r="32" spans="1:10">
      <x:c r="B32" s="0" t="s">
        <x:v>27</x:v>
      </x:c>
      <x:c r="C32" s="0" t="n">
        <x:v>834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236</x:v>
      </x:c>
      <x:c r="G42" s="0" t="n">
        <x:v>41530</x:v>
      </x:c>
    </x:row>
    <x:row r="43" spans="1:10">
      <x:c r="B43" s="0" t="s">
        <x:v>41</x:v>
      </x:c>
      <x:c r="C43" s="0" t="s">
        <x:v>39</x:v>
      </x:c>
      <x:c r="E43" s="0" t="s">
        <x:v>237</x:v>
      </x:c>
      <x:c r="G43" s="0" t="n">
        <x:v>27424</x:v>
      </x:c>
    </x:row>
    <x:row r="44" spans="1:10">
      <x:c r="B44" s="0" t="s">
        <x:v>44</x:v>
      </x:c>
      <x:c r="C44" s="0" t="n">
        <x:v>14106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238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85905</x:v>
      </x:c>
      <x:c r="F12" s="0" t="n">
        <x:v>73319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52</x:v>
      </x:c>
      <x:c r="F14" s="0" t="n">
        <x:v>25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60887</x:v>
      </x:c>
      <x:c r="F18" s="0" t="n">
        <x:v>54570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1442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146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J22-146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182</x:v>
      </x:c>
    </x:row>
    <x:row r="32" spans="1:10">
      <x:c r="B32" s="0" t="s">
        <x:v>27</x:v>
      </x:c>
      <x:c r="C32" s="0" t="n">
        <x:v>875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239</x:v>
      </x:c>
      <x:c r="G42" s="0" t="n">
        <x:v>68754</x:v>
      </x:c>
    </x:row>
    <x:row r="43" spans="1:10">
      <x:c r="B43" s="0" t="s">
        <x:v>41</x:v>
      </x:c>
      <x:c r="C43" s="0" t="s">
        <x:v>39</x:v>
      </x:c>
      <x:c r="E43" s="0" t="s">
        <x:v>240</x:v>
      </x:c>
      <x:c r="G43" s="0" t="n">
        <x:v>43983</x:v>
      </x:c>
    </x:row>
    <x:row r="44" spans="1:10">
      <x:c r="B44" s="0" t="s">
        <x:v>44</x:v>
      </x:c>
      <x:c r="C44" s="0" t="n">
        <x:v>24771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241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8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64244</x:v>
      </x:c>
      <x:c r="F12" s="0" t="n">
        <x:v>55776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195</x:v>
      </x:c>
      <x:c r="F14" s="0" t="n">
        <x:v>59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46040</x:v>
      </x:c>
      <x:c r="F18" s="0" t="n">
        <x:v>41127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1093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82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J22-82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141</x:v>
      </x:c>
    </x:row>
    <x:row r="32" spans="1:10">
      <x:c r="B32" s="0" t="s">
        <x:v>27</x:v>
      </x:c>
      <x:c r="C32" s="0" t="n">
        <x:v>851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242</x:v>
      </x:c>
      <x:c r="G42" s="0" t="n">
        <x:v>40363</x:v>
      </x:c>
    </x:row>
    <x:row r="43" spans="1:10">
      <x:c r="B43" s="0" t="s">
        <x:v>41</x:v>
      </x:c>
      <x:c r="C43" s="0" t="s">
        <x:v>39</x:v>
      </x:c>
      <x:c r="E43" s="0" t="s">
        <x:v>243</x:v>
      </x:c>
      <x:c r="G43" s="0" t="n">
        <x:v>38236</x:v>
      </x:c>
    </x:row>
    <x:row r="44" spans="1:10">
      <x:c r="B44" s="0" t="s">
        <x:v>44</x:v>
      </x:c>
      <x:c r="C44" s="0" t="n">
        <x:v>2127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244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11</x:v>
      </x:c>
      <x:c r="F5" s="0" t="n">
        <x:v>3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2</x:v>
      </x:c>
      <x:c r="F7" s="0" t="n">
        <x:v>1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57293</x:v>
      </x:c>
      <x:c r="F12" s="0" t="n">
        <x:v>50067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147</x:v>
      </x:c>
      <x:c r="F14" s="0" t="n">
        <x:v>63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46268</x:v>
      </x:c>
      <x:c r="F18" s="0" t="n">
        <x:v>40921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331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60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J22-60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125</x:v>
      </x:c>
    </x:row>
    <x:row r="32" spans="1:10">
      <x:c r="B32" s="0" t="s">
        <x:v>27</x:v>
      </x:c>
      <x:c r="C32" s="0" t="n">
        <x:v>859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245</x:v>
      </x:c>
      <x:c r="G42" s="0" t="n">
        <x:v>50597</x:v>
      </x:c>
    </x:row>
    <x:row r="43" spans="1:10">
      <x:c r="B43" s="0" t="s">
        <x:v>41</x:v>
      </x:c>
      <x:c r="C43" s="0" t="s">
        <x:v>39</x:v>
      </x:c>
      <x:c r="E43" s="0" t="s">
        <x:v>246</x:v>
      </x:c>
      <x:c r="G43" s="0" t="n">
        <x:v>22147</x:v>
      </x:c>
    </x:row>
    <x:row r="44" spans="1:10">
      <x:c r="B44" s="0" t="s">
        <x:v>44</x:v>
      </x:c>
      <x:c r="C44" s="0" t="n">
        <x:v>28450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247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4</x:v>
      </x:c>
      <x:c r="F5" s="0" t="n">
        <x:v>4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1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2</x:v>
      </x:c>
      <x:c r="F9" s="0" t="n">
        <x:v>3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55795</x:v>
      </x:c>
      <x:c r="F12" s="0" t="n">
        <x:v>52051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516</x:v>
      </x:c>
      <x:c r="F14" s="0" t="n">
        <x:v>150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41411</x:v>
      </x:c>
      <x:c r="F18" s="0" t="n">
        <x:v>41026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402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0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J22-0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136</x:v>
      </x:c>
    </x:row>
    <x:row r="32" spans="1:10">
      <x:c r="B32" s="0" t="s">
        <x:v>27</x:v>
      </x:c>
      <x:c r="C32" s="0" t="n">
        <x:v>793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248</x:v>
      </x:c>
      <x:c r="G42" s="0" t="n">
        <x:v>42785</x:v>
      </x:c>
    </x:row>
    <x:row r="43" spans="1:10">
      <x:c r="B43" s="0" t="s">
        <x:v>41</x:v>
      </x:c>
      <x:c r="C43" s="0" t="s">
        <x:v>39</x:v>
      </x:c>
      <x:c r="E43" s="0" t="s">
        <x:v>249</x:v>
      </x:c>
      <x:c r="G43" s="0" t="n">
        <x:v>33254</x:v>
      </x:c>
    </x:row>
    <x:row r="44" spans="1:10">
      <x:c r="B44" s="0" t="s">
        <x:v>44</x:v>
      </x:c>
      <x:c r="C44" s="0" t="n">
        <x:v>9531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250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53394</x:v>
      </x:c>
      <x:c r="F12" s="0" t="n">
        <x:v>50644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1517</x:v>
      </x:c>
      <x:c r="F14" s="0" t="n">
        <x:v>645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38957</x:v>
      </x:c>
      <x:c r="F18" s="0" t="n">
        <x:v>41598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668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316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J22-316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128</x:v>
      </x:c>
    </x:row>
    <x:row r="32" spans="1:10">
      <x:c r="B32" s="0" t="s">
        <x:v>27</x:v>
      </x:c>
      <x:c r="C32" s="0" t="n">
        <x:v>813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251</x:v>
      </x:c>
      <x:c r="G42" s="0" t="n">
        <x:v>29539</x:v>
      </x:c>
    </x:row>
    <x:row r="43" spans="1:10">
      <x:c r="B43" s="0" t="s">
        <x:v>41</x:v>
      </x:c>
      <x:c r="C43" s="0" t="s">
        <x:v>39</x:v>
      </x:c>
      <x:c r="E43" s="0" t="s">
        <x:v>252</x:v>
      </x:c>
      <x:c r="G43" s="0" t="n">
        <x:v>26830</x:v>
      </x:c>
    </x:row>
    <x:row r="44" spans="1:10">
      <x:c r="B44" s="0" t="s">
        <x:v>44</x:v>
      </x:c>
      <x:c r="C44" s="0" t="n">
        <x:v>2709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70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14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1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10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40918</x:v>
      </x:c>
      <x:c r="F12" s="0" t="n">
        <x:v>39522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1168</x:v>
      </x:c>
      <x:c r="F14" s="0" t="n">
        <x:v>497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18044</x:v>
      </x:c>
      <x:c r="F18" s="0" t="n">
        <x:v>24762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950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139</x:v>
      </x:c>
    </x:row>
    <x:row r="32" spans="1:10">
      <x:c r="B32" s="0" t="s">
        <x:v>27</x:v>
      </x:c>
      <x:c r="C32" s="0" t="n">
        <x:v>579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71</x:v>
      </x:c>
      <x:c r="G42" s="0" t="n">
        <x:v>13824</x:v>
      </x:c>
    </x:row>
    <x:row r="43" spans="1:10">
      <x:c r="B43" s="0" t="s">
        <x:v>41</x:v>
      </x:c>
      <x:c r="C43" s="0" t="s">
        <x:v>62</x:v>
      </x:c>
      <x:c r="E43" s="0" t="s">
        <x:v>72</x:v>
      </x:c>
      <x:c r="G43" s="0" t="n">
        <x:v>10325</x:v>
      </x:c>
    </x:row>
    <x:row r="44" spans="1:10">
      <x:c r="B44" s="0" t="s">
        <x:v>44</x:v>
      </x:c>
      <x:c r="C44" s="0" t="n">
        <x:v>3499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73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6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4</x:v>
      </x:c>
      <x:c r="F9" s="0" t="n">
        <x:v>1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43964</x:v>
      </x:c>
      <x:c r="F12" s="0" t="n">
        <x:v>39474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774</x:v>
      </x:c>
      <x:c r="F14" s="0" t="n">
        <x:v>229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23926</x:v>
      </x:c>
      <x:c r="F18" s="0" t="n">
        <x:v>27902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734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17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J22-17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163</x:v>
      </x:c>
    </x:row>
    <x:row r="32" spans="1:10">
      <x:c r="B32" s="0" t="s">
        <x:v>27</x:v>
      </x:c>
      <x:c r="C32" s="0" t="n">
        <x:v>512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74</x:v>
      </x:c>
      <x:c r="G42" s="0" t="n">
        <x:v>24104</x:v>
      </x:c>
    </x:row>
    <x:row r="43" spans="1:10">
      <x:c r="B43" s="0" t="s">
        <x:v>41</x:v>
      </x:c>
      <x:c r="C43" s="0" t="s">
        <x:v>62</x:v>
      </x:c>
      <x:c r="E43" s="0" t="s">
        <x:v>75</x:v>
      </x:c>
      <x:c r="G43" s="0" t="n">
        <x:v>19132</x:v>
      </x:c>
    </x:row>
    <x:row r="44" spans="1:10">
      <x:c r="B44" s="0" t="s">
        <x:v>44</x:v>
      </x:c>
      <x:c r="C44" s="0" t="n">
        <x:v>4972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76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7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40840</x:v>
      </x:c>
      <x:c r="F12" s="0" t="n">
        <x:v>39078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543</x:v>
      </x:c>
      <x:c r="F14" s="0" t="n">
        <x:v>217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16580</x:v>
      </x:c>
      <x:c r="F18" s="0" t="n">
        <x:v>24247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514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11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J22-11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143</x:v>
      </x:c>
    </x:row>
    <x:row r="32" spans="1:10">
      <x:c r="B32" s="0" t="s">
        <x:v>27</x:v>
      </x:c>
      <x:c r="C32" s="0" t="n">
        <x:v>559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77</x:v>
      </x:c>
      <x:c r="G42" s="0" t="n">
        <x:v>15058</x:v>
      </x:c>
    </x:row>
    <x:row r="43" spans="1:10">
      <x:c r="B43" s="0" t="s">
        <x:v>41</x:v>
      </x:c>
      <x:c r="C43" s="0" t="s">
        <x:v>39</x:v>
      </x:c>
      <x:c r="E43" s="0" t="s">
        <x:v>78</x:v>
      </x:c>
      <x:c r="G43" s="0" t="n">
        <x:v>13119</x:v>
      </x:c>
    </x:row>
    <x:row r="44" spans="1:10">
      <x:c r="B44" s="0" t="s">
        <x:v>44</x:v>
      </x:c>
      <x:c r="C44" s="0" t="n">
        <x:v>1939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79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12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9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41592</x:v>
      </x:c>
      <x:c r="F12" s="0" t="n">
        <x:v>38601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715</x:v>
      </x:c>
      <x:c r="F14" s="0" t="n">
        <x:v>258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19147</x:v>
      </x:c>
      <x:c r="F18" s="0" t="n">
        <x:v>24078</x:v>
      </x:c>
      <x:c r="H18" s="0" t="n">
        <x:v>1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1160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29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J22-29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150</x:v>
      </x:c>
    </x:row>
    <x:row r="32" spans="1:10">
      <x:c r="B32" s="0" t="s">
        <x:v>27</x:v>
      </x:c>
      <x:c r="C32" s="0" t="n">
        <x:v>535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42</x:v>
      </x:c>
      <x:c r="E42" s="0" t="s">
        <x:v>80</x:v>
      </x:c>
      <x:c r="G42" s="0" t="n">
        <x:v>20896</x:v>
      </x:c>
    </x:row>
    <x:row r="43" spans="1:10">
      <x:c r="B43" s="0" t="s">
        <x:v>41</x:v>
      </x:c>
      <x:c r="C43" s="0" t="s">
        <x:v>62</x:v>
      </x:c>
      <x:c r="E43" s="0" t="s">
        <x:v>81</x:v>
      </x:c>
      <x:c r="G43" s="0" t="n">
        <x:v>14056</x:v>
      </x:c>
    </x:row>
    <x:row r="44" spans="1:10">
      <x:c r="B44" s="0" t="s">
        <x:v>44</x:v>
      </x:c>
      <x:c r="C44" s="0" t="n">
        <x:v>6840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82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9</x:v>
      </x:c>
      <x:c r="F5" s="0" t="n">
        <x:v>0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1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5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39812</x:v>
      </x:c>
      <x:c r="F12" s="0" t="n">
        <x:v>36531</x:v>
      </x:c>
      <x:c r="H12" s="0" t="n">
        <x:v>0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366</x:v>
      </x:c>
      <x:c r="F14" s="0" t="n">
        <x:v>149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23175</x:v>
      </x:c>
      <x:c r="F18" s="0" t="n">
        <x:v>25912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437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15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J22-15</x:f>
      </x:c>
    </x:row>
    <x:row r="29" spans="1:10">
      <x:c r="B29" s="0" t="s">
        <x:v>25</x:v>
      </x:c>
      <x:c r="C29" s="0" t="n">
        <x:v>0</x:v>
      </x:c>
    </x:row>
    <x:row r="31" spans="1:10">
      <x:c r="A31" s="0" t="s">
        <x:v>26</x:v>
      </x:c>
      <x:c r="C31" s="0" t="n">
        <x:v>167</x:v>
      </x:c>
    </x:row>
    <x:row r="32" spans="1:10">
      <x:c r="B32" s="0" t="s">
        <x:v>27</x:v>
      </x:c>
      <x:c r="C32" s="0" t="n">
        <x:v>457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62</x:v>
      </x:c>
      <x:c r="E42" s="0" t="s">
        <x:v>83</x:v>
      </x:c>
      <x:c r="G42" s="0" t="n">
        <x:v>17811</x:v>
      </x:c>
    </x:row>
    <x:row r="43" spans="1:10">
      <x:c r="B43" s="0" t="s">
        <x:v>41</x:v>
      </x:c>
      <x:c r="C43" s="0" t="s">
        <x:v>42</x:v>
      </x:c>
      <x:c r="E43" s="0" t="s">
        <x:v>84</x:v>
      </x:c>
      <x:c r="G43" s="0" t="n">
        <x:v>16196</x:v>
      </x:c>
    </x:row>
    <x:row r="44" spans="1:10">
      <x:c r="B44" s="0" t="s">
        <x:v>44</x:v>
      </x:c>
      <x:c r="C44" s="0" t="n">
        <x:v>1615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4"/>
  <x:sheetViews>
    <x:sheetView workbookViewId="0"/>
  </x:sheetViews>
  <x:sheetFormatPr defaultRowHeight="15"/>
  <x:sheetData>
    <x:row r="1" spans="1:10">
      <x:c r="A1" s="0" t="s">
        <x:v>0</x:v>
      </x:c>
    </x:row>
    <x:row r="2" spans="1:10">
      <x:c r="A2" s="0" t="s">
        <x:v>1</x:v>
      </x:c>
      <x:c r="B2" s="0" t="s">
        <x:v>85</x:v>
      </x:c>
    </x:row>
    <x:row r="4" spans="1:10">
      <x:c r="B4" s="0" t="s">
        <x:v>3</x:v>
      </x:c>
      <x:c r="D4" s="0" t="s">
        <x:v>4</x:v>
      </x:c>
      <x:c r="F4" s="0" t="s">
        <x:v>5</x:v>
      </x:c>
      <x:c r="H4" s="0" t="s">
        <x:v>6</x:v>
      </x:c>
      <x:c r="J4" s="0" t="s">
        <x:v>7</x:v>
      </x:c>
    </x:row>
    <x:row r="5" spans="1:10">
      <x:c r="A5" s="0" t="s">
        <x:v>8</x:v>
      </x:c>
      <x:c r="D5" s="0" t="n">
        <x:v>3</x:v>
      </x:c>
      <x:c r="F5" s="0" t="n">
        <x:v>1</x:v>
      </x:c>
      <x:c r="H5" s="0" t="n">
        <x:v>0</x:v>
      </x:c>
      <x:c r="J5" s="0">
        <x:f>SUM(D5:F5:H5)</x:f>
      </x:c>
    </x:row>
    <x:row r="6" spans="1:10">
      <x:c r="A6" s="0" t="s">
        <x:v>9</x:v>
      </x:c>
      <x:c r="D6" s="0" t="n">
        <x:v>0</x:v>
      </x:c>
      <x:c r="F6" s="0" t="n">
        <x:v>0</x:v>
      </x:c>
      <x:c r="H6" s="0" t="n">
        <x:v>0</x:v>
      </x:c>
      <x:c r="J6" s="0">
        <x:f>SUM(D6:F6:H6)</x:f>
      </x:c>
    </x:row>
    <x:row r="7" spans="1:10">
      <x:c r="A7" s="0" t="s">
        <x:v>10</x:v>
      </x:c>
      <x:c r="D7" s="0" t="n">
        <x:v>0</x:v>
      </x:c>
      <x:c r="F7" s="0" t="n">
        <x:v>0</x:v>
      </x:c>
      <x:c r="H7" s="0" t="n">
        <x:v>0</x:v>
      </x:c>
      <x:c r="J7" s="0">
        <x:f>SUM(D7:F7:H7)</x:f>
      </x:c>
    </x:row>
    <x:row r="8" spans="1:10">
      <x:c r="A8" s="0" t="s">
        <x:v>11</x:v>
      </x:c>
      <x:c r="D8" s="0">
        <x:f>D5-D6-D7</x:f>
      </x:c>
      <x:c r="F8" s="0">
        <x:f>E5-E6-E7</x:f>
      </x:c>
      <x:c r="H8" s="0">
        <x:f>F5-F6-F7</x:f>
      </x:c>
      <x:c r="J8" s="0">
        <x:f>SUM(D8:F8:E8)</x:f>
      </x:c>
    </x:row>
    <x:row r="9" spans="1:10">
      <x:c r="A9" s="0" t="s">
        <x:v>12</x:v>
      </x:c>
      <x:c r="D9" s="0" t="n">
        <x:v>2</x:v>
      </x:c>
      <x:c r="F9" s="0" t="n">
        <x:v>0</x:v>
      </x:c>
      <x:c r="H9" s="0" t="n">
        <x:v>0</x:v>
      </x:c>
      <x:c r="J9" s="0">
        <x:f>SUM(D9:F9:E9)</x:f>
      </x:c>
    </x:row>
    <x:row r="11" spans="1:10">
      <x:c r="A11" s="0" t="s">
        <x:v>13</x:v>
      </x:c>
    </x:row>
    <x:row r="12" spans="1:10">
      <x:c r="B12" s="0" t="s">
        <x:v>14</x:v>
      </x:c>
      <x:c r="D12" s="0" t="n">
        <x:v>54293</x:v>
      </x:c>
      <x:c r="F12" s="0" t="n">
        <x:v>45006</x:v>
      </x:c>
      <x:c r="H12" s="0" t="n">
        <x:v>1</x:v>
      </x:c>
      <x:c r="J12" s="0">
        <x:f>SUM(D12:F12:H12)</x:f>
      </x:c>
    </x:row>
    <x:row r="13" spans="1:10">
      <x:c r="B13" s="0" t="s">
        <x:v>15</x:v>
      </x:c>
      <x:c r="D13" s="0" t="n">
        <x:v>0</x:v>
      </x:c>
      <x:c r="F13" s="0" t="n">
        <x:v>0</x:v>
      </x:c>
      <x:c r="H13" s="0" t="n">
        <x:v>0</x:v>
      </x:c>
      <x:c r="J13" s="0">
        <x:f>SUM(D13:F13:H13)</x:f>
      </x:c>
    </x:row>
    <x:row r="14" spans="1:10">
      <x:c r="B14" s="0" t="s">
        <x:v>16</x:v>
      </x:c>
      <x:c r="D14" s="0" t="n">
        <x:v>179</x:v>
      </x:c>
      <x:c r="F14" s="0" t="n">
        <x:v>84</x:v>
      </x:c>
      <x:c r="H14" s="0" t="n">
        <x:v>0</x:v>
      </x:c>
      <x:c r="J14" s="0">
        <x:f>SUM(D14:F14:H14)</x:f>
      </x:c>
    </x:row>
    <x:row r="15" spans="1:10">
      <x:c r="B15" s="0" t="s">
        <x:v>7</x:v>
      </x:c>
      <x:c r="D15" s="0">
        <x:f>SUM(D12:D13:D14)</x:f>
      </x:c>
      <x:c r="F15" s="0">
        <x:f>SUM(F12:F13:F14)</x:f>
      </x:c>
      <x:c r="H15" s="0">
        <x:f>SUM(H12:H13:H14)</x:f>
      </x:c>
      <x:c r="J15" s="0">
        <x:f>SUM(D15:F15:H15)</x:f>
      </x:c>
    </x:row>
    <x:row r="17" spans="1:10">
      <x:c r="A17" s="0" t="s">
        <x:v>17</x:v>
      </x:c>
    </x:row>
    <x:row r="18" spans="1:10">
      <x:c r="B18" s="0" t="s">
        <x:v>14</x:v>
      </x:c>
      <x:c r="D18" s="0" t="n">
        <x:v>38932</x:v>
      </x:c>
      <x:c r="F18" s="0" t="n">
        <x:v>32560</x:v>
      </x:c>
      <x:c r="H18" s="0" t="n">
        <x:v>0</x:v>
      </x:c>
      <x:c r="J18" s="0">
        <x:f>SUM(D18:F18:H18)</x:f>
      </x:c>
    </x:row>
    <x:row r="19" spans="1:10">
      <x:c r="B19" s="0" t="s">
        <x:v>15</x:v>
      </x:c>
      <x:c r="D19" s="0" t="n">
        <x:v>0</x:v>
      </x:c>
      <x:c r="F19" s="0" t="n">
        <x:v>0</x:v>
      </x:c>
      <x:c r="H19" s="0" t="n">
        <x:v>0</x:v>
      </x:c>
      <x:c r="J19" s="0">
        <x:f>SUM(D19:F19:H19)</x:f>
      </x:c>
    </x:row>
    <x:row r="20" spans="1:10">
      <x:c r="B20" s="0" t="s">
        <x:v>18</x:v>
      </x:c>
      <x:c r="J20" s="0" t="n">
        <x:v>0</x:v>
      </x:c>
    </x:row>
    <x:row r="21" spans="1:10">
      <x:c r="B21" s="0" t="s">
        <x:v>19</x:v>
      </x:c>
      <x:c r="J21" s="0" t="n">
        <x:v>894</x:v>
      </x:c>
    </x:row>
    <x:row r="22" spans="1:10">
      <x:c r="B22" s="0" t="s">
        <x:v>7</x:v>
      </x:c>
      <x:c r="J22" s="0">
        <x:f>SUM(J18:J19:J21)</x:f>
      </x:c>
    </x:row>
    <x:row r="23" spans="1:10">
      <x:c r="A23" s="0" t="s">
        <x:v>20</x:v>
      </x:c>
      <x:c r="J23" s="0">
        <x:f>J22/J15*100</x:f>
      </x:c>
    </x:row>
    <x:row r="25" spans="1:10">
      <x:c r="A25" s="0" t="s">
        <x:v>21</x:v>
      </x:c>
    </x:row>
    <x:row r="26" spans="1:10">
      <x:c r="B26" s="0" t="s">
        <x:v>22</x:v>
      </x:c>
      <x:c r="C26" s="0" t="n">
        <x:v>504</x:v>
      </x:c>
    </x:row>
    <x:row r="27" spans="1:10">
      <x:c r="B27" s="0" t="s">
        <x:v>23</x:v>
      </x:c>
      <x:c r="C27" s="0" t="n">
        <x:v>0</x:v>
      </x:c>
    </x:row>
    <x:row r="28" spans="1:10">
      <x:c r="B28" s="0" t="s">
        <x:v>24</x:v>
      </x:c>
      <x:c r="C28" s="0">
        <x:f>J22-504</x:f>
      </x:c>
    </x:row>
    <x:row r="29" spans="1:10">
      <x:c r="B29" s="0" t="s">
        <x:v>25</x:v>
      </x:c>
      <x:c r="C29" s="0" t="n">
        <x:v>3</x:v>
      </x:c>
    </x:row>
    <x:row r="31" spans="1:10">
      <x:c r="A31" s="0" t="s">
        <x:v>26</x:v>
      </x:c>
      <x:c r="C31" s="0" t="n">
        <x:v>216</x:v>
      </x:c>
    </x:row>
    <x:row r="32" spans="1:10">
      <x:c r="B32" s="0" t="s">
        <x:v>27</x:v>
      </x:c>
      <x:c r="C32" s="0" t="n">
        <x:v>460</x:v>
      </x:c>
    </x:row>
    <x:row r="33" spans="1:10">
      <x:c r="B33" s="0" t="s">
        <x:v>28</x:v>
      </x:c>
    </x:row>
    <x:row r="34" spans="1:10">
      <x:c r="B34" s="0" t="s">
        <x:v>29</x:v>
      </x:c>
    </x:row>
    <x:row r="35" spans="1:10">
      <x:c r="A35" s="0" t="s">
        <x:v>30</x:v>
      </x:c>
    </x:row>
    <x:row r="36" spans="1:10">
      <x:c r="B36" s="0" t="s">
        <x:v>31</x:v>
      </x:c>
      <x:c r="C36" s="1">
        <x:v>42781</x:v>
      </x:c>
    </x:row>
    <x:row r="37" spans="1:10">
      <x:c r="B37" s="0" t="s">
        <x:v>32</x:v>
      </x:c>
      <x:c r="C37" s="1">
        <x:v>42805</x:v>
      </x:c>
    </x:row>
    <x:row r="38" spans="1:10">
      <x:c r="B38" s="0" t="s">
        <x:v>33</x:v>
      </x:c>
      <x:c r="C38" s="1">
        <x:v>42805</x:v>
      </x:c>
    </x:row>
    <x:row r="40" spans="1:10">
      <x:c r="A40" s="0" t="s">
        <x:v>34</x:v>
      </x:c>
    </x:row>
    <x:row r="41" spans="1:10">
      <x:c r="C41" s="0" t="s">
        <x:v>35</x:v>
      </x:c>
      <x:c r="E41" s="0" t="s">
        <x:v>36</x:v>
      </x:c>
      <x:c r="G41" s="0" t="s">
        <x:v>37</x:v>
      </x:c>
    </x:row>
    <x:row r="42" spans="1:10">
      <x:c r="B42" s="0" t="s">
        <x:v>38</x:v>
      </x:c>
      <x:c r="C42" s="0" t="s">
        <x:v>39</x:v>
      </x:c>
      <x:c r="E42" s="0" t="s">
        <x:v>86</x:v>
      </x:c>
      <x:c r="G42" s="0" t="n">
        <x:v>34968</x:v>
      </x:c>
    </x:row>
    <x:row r="43" spans="1:10">
      <x:c r="B43" s="0" t="s">
        <x:v>41</x:v>
      </x:c>
      <x:c r="C43" s="0" t="s">
        <x:v>42</x:v>
      </x:c>
      <x:c r="E43" s="0" t="s">
        <x:v>87</x:v>
      </x:c>
      <x:c r="G43" s="0" t="n">
        <x:v>33425</x:v>
      </x:c>
    </x:row>
    <x:row r="44" spans="1:10">
      <x:c r="B44" s="0" t="s">
        <x:v>44</x:v>
      </x:c>
      <x:c r="C44" s="0" t="n">
        <x:v>1543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70</vt:i4>
      </vt:variant>
      <vt:variant>
        <vt:lpstr>Named Ranges</vt:lpstr>
      </vt:variant>
      <vt:variant>
        <vt:i4>140</vt:i4>
      </vt:variant>
    </vt:vector>
  </ap:HeadingPairs>
  <ap:TitlesOfParts>
    <vt:vector baseType="lpstr" size="210">
      <vt:lpstr>1  Purola</vt:lpstr>
      <vt:lpstr>2  Yamunotri</vt:lpstr>
      <vt:lpstr>3  Gangotri</vt:lpstr>
      <vt:lpstr>4  Badrinath</vt:lpstr>
      <vt:lpstr>5  Tharali</vt:lpstr>
      <vt:lpstr>6  Karnprayag</vt:lpstr>
      <vt:lpstr>7  Kedarnath</vt:lpstr>
      <vt:lpstr>8  Rudraprayag</vt:lpstr>
      <vt:lpstr>9  Ghanshali</vt:lpstr>
      <vt:lpstr>10  Devprayag</vt:lpstr>
      <vt:lpstr>11  Narendranagar</vt:lpstr>
      <vt:lpstr>12  Pratapnagar</vt:lpstr>
      <vt:lpstr>13  Tehri</vt:lpstr>
      <vt:lpstr>14  Dhanolti</vt:lpstr>
      <vt:lpstr>15  Chakrata</vt:lpstr>
      <vt:lpstr>16  Vikasnagar</vt:lpstr>
      <vt:lpstr>17  Sahaspur</vt:lpstr>
      <vt:lpstr>18  Dharampur</vt:lpstr>
      <vt:lpstr>19  Raipur</vt:lpstr>
      <vt:lpstr>20  Rajpur Road</vt:lpstr>
      <vt:lpstr>21  Dehradun Cantt.</vt:lpstr>
      <vt:lpstr>22  Mussoorie</vt:lpstr>
      <vt:lpstr>23  Doiwala</vt:lpstr>
      <vt:lpstr>24  Rishikesh</vt:lpstr>
      <vt:lpstr>25  Hardwar</vt:lpstr>
      <vt:lpstr>26  B.H.E.L. ranipur</vt:lpstr>
      <vt:lpstr>27  Jwalapur</vt:lpstr>
      <vt:lpstr>28  Bhagwanpur</vt:lpstr>
      <vt:lpstr>29  Jhabrera</vt:lpstr>
      <vt:lpstr>30  Pirankaliyar</vt:lpstr>
      <vt:lpstr>31  Roorkee</vt:lpstr>
      <vt:lpstr>32  Khanpur</vt:lpstr>
      <vt:lpstr>33  Manglore</vt:lpstr>
      <vt:lpstr>34  Laksar</vt:lpstr>
      <vt:lpstr>35  Hardwar Rural</vt:lpstr>
      <vt:lpstr>36  Yamkeshwar</vt:lpstr>
      <vt:lpstr>37  Pauri</vt:lpstr>
      <vt:lpstr>38  Srinagar</vt:lpstr>
      <vt:lpstr>39  Chaubattakhal</vt:lpstr>
      <vt:lpstr>40  Lansdowne</vt:lpstr>
      <vt:lpstr>41  Kotdwar</vt:lpstr>
      <vt:lpstr>42  Dharchula</vt:lpstr>
      <vt:lpstr>43  Didihat</vt:lpstr>
      <vt:lpstr>44  Pithoragarh</vt:lpstr>
      <vt:lpstr>45  Gangolihat</vt:lpstr>
      <vt:lpstr>46  Kapkot</vt:lpstr>
      <vt:lpstr>47  Bageshwar</vt:lpstr>
      <vt:lpstr>48  Dwarahat</vt:lpstr>
      <vt:lpstr>49  Salt</vt:lpstr>
      <vt:lpstr>50  Ranikhet</vt:lpstr>
      <vt:lpstr>51  Someshwar (s.c.)</vt:lpstr>
      <vt:lpstr>52  Almora</vt:lpstr>
      <vt:lpstr>53  Jageshwar</vt:lpstr>
      <vt:lpstr>54  Lohaghat</vt:lpstr>
      <vt:lpstr>55  Champawat</vt:lpstr>
      <vt:lpstr>56  Lalkuwa</vt:lpstr>
      <vt:lpstr>57  Bhimtal</vt:lpstr>
      <vt:lpstr>58  Nainital</vt:lpstr>
      <vt:lpstr>59  Haldwani</vt:lpstr>
      <vt:lpstr>60  Kaladhungi</vt:lpstr>
      <vt:lpstr>61  Ramnagar</vt:lpstr>
      <vt:lpstr>62  Jaspur</vt:lpstr>
      <vt:lpstr>63  Kashipur</vt:lpstr>
      <vt:lpstr>64  Bajpur</vt:lpstr>
      <vt:lpstr>65  Gadarpur</vt:lpstr>
      <vt:lpstr>66  Rudrapur</vt:lpstr>
      <vt:lpstr>67  Kichha</vt:lpstr>
      <vt:lpstr>68  Sitarganj</vt:lpstr>
      <vt:lpstr>69  Nanak matta</vt:lpstr>
      <vt:lpstr>70  Khatima</vt:lpstr>
      <vt:lpstr>1  Purola!Print_Area</vt:lpstr>
      <vt:lpstr>1  Purola!Print_Titles</vt:lpstr>
      <vt:lpstr>2  Yamunotri!Print_Area</vt:lpstr>
      <vt:lpstr>2  Yamunotri!Print_Titles</vt:lpstr>
      <vt:lpstr>3  Gangotri!Print_Area</vt:lpstr>
      <vt:lpstr>3  Gangotri!Print_Titles</vt:lpstr>
      <vt:lpstr>4  Badrinath!Print_Area</vt:lpstr>
      <vt:lpstr>4  Badrinath!Print_Titles</vt:lpstr>
      <vt:lpstr>5  Tharali!Print_Area</vt:lpstr>
      <vt:lpstr>5  Tharali!Print_Titles</vt:lpstr>
      <vt:lpstr>6  Karnprayag!Print_Area</vt:lpstr>
      <vt:lpstr>6  Karnprayag!Print_Titles</vt:lpstr>
      <vt:lpstr>7  Kedarnath!Print_Area</vt:lpstr>
      <vt:lpstr>7  Kedarnath!Print_Titles</vt:lpstr>
      <vt:lpstr>8  Rudraprayag!Print_Area</vt:lpstr>
      <vt:lpstr>8  Rudraprayag!Print_Titles</vt:lpstr>
      <vt:lpstr>9  Ghanshali!Print_Area</vt:lpstr>
      <vt:lpstr>9  Ghanshali!Print_Titles</vt:lpstr>
      <vt:lpstr>10  Devprayag!Print_Area</vt:lpstr>
      <vt:lpstr>10  Devprayag!Print_Titles</vt:lpstr>
      <vt:lpstr>11  Narendranagar!Print_Area</vt:lpstr>
      <vt:lpstr>11  Narendranagar!Print_Titles</vt:lpstr>
      <vt:lpstr>12  Pratapnagar!Print_Area</vt:lpstr>
      <vt:lpstr>12  Pratapnagar!Print_Titles</vt:lpstr>
      <vt:lpstr>13  Tehri!Print_Area</vt:lpstr>
      <vt:lpstr>13  Tehri!Print_Titles</vt:lpstr>
      <vt:lpstr>14  Dhanolti!Print_Area</vt:lpstr>
      <vt:lpstr>14  Dhanolti!Print_Titles</vt:lpstr>
      <vt:lpstr>15  Chakrata!Print_Area</vt:lpstr>
      <vt:lpstr>15  Chakrata!Print_Titles</vt:lpstr>
      <vt:lpstr>16  Vikasnagar!Print_Area</vt:lpstr>
      <vt:lpstr>16  Vikasnagar!Print_Titles</vt:lpstr>
      <vt:lpstr>17  Sahaspur!Print_Area</vt:lpstr>
      <vt:lpstr>17  Sahaspur!Print_Titles</vt:lpstr>
      <vt:lpstr>18  Dharampur!Print_Area</vt:lpstr>
      <vt:lpstr>18  Dharampur!Print_Titles</vt:lpstr>
      <vt:lpstr>19  Raipur!Print_Area</vt:lpstr>
      <vt:lpstr>19  Raipur!Print_Titles</vt:lpstr>
      <vt:lpstr>20  Rajpur Road!Print_Area</vt:lpstr>
      <vt:lpstr>20  Rajpur Road!Print_Titles</vt:lpstr>
      <vt:lpstr>21  Dehradun Cantt.!Print_Area</vt:lpstr>
      <vt:lpstr>21  Dehradun Cantt.!Print_Titles</vt:lpstr>
      <vt:lpstr>22  Mussoorie!Print_Area</vt:lpstr>
      <vt:lpstr>22  Mussoorie!Print_Titles</vt:lpstr>
      <vt:lpstr>23  Doiwala!Print_Area</vt:lpstr>
      <vt:lpstr>23  Doiwala!Print_Titles</vt:lpstr>
      <vt:lpstr>24  Rishikesh!Print_Area</vt:lpstr>
      <vt:lpstr>24  Rishikesh!Print_Titles</vt:lpstr>
      <vt:lpstr>25  Hardwar!Print_Area</vt:lpstr>
      <vt:lpstr>25  Hardwar!Print_Titles</vt:lpstr>
      <vt:lpstr>26  B.H.E.L. ranipur!Print_Area</vt:lpstr>
      <vt:lpstr>26  B.H.E.L. ranipur!Print_Titles</vt:lpstr>
      <vt:lpstr>27  Jwalapur!Print_Area</vt:lpstr>
      <vt:lpstr>27  Jwalapur!Print_Titles</vt:lpstr>
      <vt:lpstr>28  Bhagwanpur!Print_Area</vt:lpstr>
      <vt:lpstr>28  Bhagwanpur!Print_Titles</vt:lpstr>
      <vt:lpstr>29  Jhabrera!Print_Area</vt:lpstr>
      <vt:lpstr>29  Jhabrera!Print_Titles</vt:lpstr>
      <vt:lpstr>30  Pirankaliyar!Print_Area</vt:lpstr>
      <vt:lpstr>30  Pirankaliyar!Print_Titles</vt:lpstr>
      <vt:lpstr>31  Roorkee!Print_Area</vt:lpstr>
      <vt:lpstr>31  Roorkee!Print_Titles</vt:lpstr>
      <vt:lpstr>32  Khanpur!Print_Area</vt:lpstr>
      <vt:lpstr>32  Khanpur!Print_Titles</vt:lpstr>
      <vt:lpstr>33  Manglore!Print_Area</vt:lpstr>
      <vt:lpstr>33  Manglore!Print_Titles</vt:lpstr>
      <vt:lpstr>34  Laksar!Print_Area</vt:lpstr>
      <vt:lpstr>34  Laksar!Print_Titles</vt:lpstr>
      <vt:lpstr>35  Hardwar Rural!Print_Area</vt:lpstr>
      <vt:lpstr>35  Hardwar Rural!Print_Titles</vt:lpstr>
      <vt:lpstr>36  Yamkeshwar!Print_Area</vt:lpstr>
      <vt:lpstr>36  Yamkeshwar!Print_Titles</vt:lpstr>
      <vt:lpstr>37  Pauri!Print_Area</vt:lpstr>
      <vt:lpstr>37  Pauri!Print_Titles</vt:lpstr>
      <vt:lpstr>38  Srinagar!Print_Area</vt:lpstr>
      <vt:lpstr>38  Srinagar!Print_Titles</vt:lpstr>
      <vt:lpstr>39  Chaubattakhal!Print_Area</vt:lpstr>
      <vt:lpstr>39  Chaubattakhal!Print_Titles</vt:lpstr>
      <vt:lpstr>40  Lansdowne!Print_Area</vt:lpstr>
      <vt:lpstr>40  Lansdowne!Print_Titles</vt:lpstr>
      <vt:lpstr>41  Kotdwar!Print_Area</vt:lpstr>
      <vt:lpstr>41  Kotdwar!Print_Titles</vt:lpstr>
      <vt:lpstr>42  Dharchula!Print_Area</vt:lpstr>
      <vt:lpstr>42  Dharchula!Print_Titles</vt:lpstr>
      <vt:lpstr>43  Didihat!Print_Area</vt:lpstr>
      <vt:lpstr>43  Didihat!Print_Titles</vt:lpstr>
      <vt:lpstr>44  Pithoragarh!Print_Area</vt:lpstr>
      <vt:lpstr>44  Pithoragarh!Print_Titles</vt:lpstr>
      <vt:lpstr>45  Gangolihat!Print_Area</vt:lpstr>
      <vt:lpstr>45  Gangolihat!Print_Titles</vt:lpstr>
      <vt:lpstr>46  Kapkot!Print_Area</vt:lpstr>
      <vt:lpstr>46  Kapkot!Print_Titles</vt:lpstr>
      <vt:lpstr>47  Bageshwar!Print_Area</vt:lpstr>
      <vt:lpstr>47  Bageshwar!Print_Titles</vt:lpstr>
      <vt:lpstr>48  Dwarahat!Print_Area</vt:lpstr>
      <vt:lpstr>48  Dwarahat!Print_Titles</vt:lpstr>
      <vt:lpstr>49  Salt!Print_Area</vt:lpstr>
      <vt:lpstr>49  Salt!Print_Titles</vt:lpstr>
      <vt:lpstr>50  Ranikhet!Print_Area</vt:lpstr>
      <vt:lpstr>50  Ranikhet!Print_Titles</vt:lpstr>
      <vt:lpstr>51  Someshwar (s.c.)!Print_Area</vt:lpstr>
      <vt:lpstr>51  Someshwar (s.c.)!Print_Titles</vt:lpstr>
      <vt:lpstr>52  Almora!Print_Area</vt:lpstr>
      <vt:lpstr>52  Almora!Print_Titles</vt:lpstr>
      <vt:lpstr>53  Jageshwar!Print_Area</vt:lpstr>
      <vt:lpstr>53  Jageshwar!Print_Titles</vt:lpstr>
      <vt:lpstr>54  Lohaghat!Print_Area</vt:lpstr>
      <vt:lpstr>54  Lohaghat!Print_Titles</vt:lpstr>
      <vt:lpstr>55  Champawat!Print_Area</vt:lpstr>
      <vt:lpstr>55  Champawat!Print_Titles</vt:lpstr>
      <vt:lpstr>56  Lalkuwa!Print_Area</vt:lpstr>
      <vt:lpstr>56  Lalkuwa!Print_Titles</vt:lpstr>
      <vt:lpstr>57  Bhimtal!Print_Area</vt:lpstr>
      <vt:lpstr>57  Bhimtal!Print_Titles</vt:lpstr>
      <vt:lpstr>58  Nainital!Print_Area</vt:lpstr>
      <vt:lpstr>58  Nainital!Print_Titles</vt:lpstr>
      <vt:lpstr>59  Haldwani!Print_Area</vt:lpstr>
      <vt:lpstr>59  Haldwani!Print_Titles</vt:lpstr>
      <vt:lpstr>60  Kaladhungi!Print_Area</vt:lpstr>
      <vt:lpstr>60  Kaladhungi!Print_Titles</vt:lpstr>
      <vt:lpstr>61  Ramnagar!Print_Area</vt:lpstr>
      <vt:lpstr>61  Ramnagar!Print_Titles</vt:lpstr>
      <vt:lpstr>62  Jaspur!Print_Area</vt:lpstr>
      <vt:lpstr>62  Jaspur!Print_Titles</vt:lpstr>
      <vt:lpstr>63  Kashipur!Print_Area</vt:lpstr>
      <vt:lpstr>63  Kashipur!Print_Titles</vt:lpstr>
      <vt:lpstr>64  Bajpur!Print_Area</vt:lpstr>
      <vt:lpstr>64  Bajpur!Print_Titles</vt:lpstr>
      <vt:lpstr>65  Gadarpur!Print_Area</vt:lpstr>
      <vt:lpstr>65  Gadarpur!Print_Titles</vt:lpstr>
      <vt:lpstr>66  Rudrapur!Print_Area</vt:lpstr>
      <vt:lpstr>66  Rudrapur!Print_Titles</vt:lpstr>
      <vt:lpstr>67  Kichha!Print_Area</vt:lpstr>
      <vt:lpstr>67  Kichha!Print_Titles</vt:lpstr>
      <vt:lpstr>68  Sitarganj!Print_Area</vt:lpstr>
      <vt:lpstr>68  Sitarganj!Print_Titles</vt:lpstr>
      <vt:lpstr>69  Nanak matta!Print_Area</vt:lpstr>
      <vt:lpstr>69  Nanak matta!Print_Titles</vt:lpstr>
      <vt:lpstr>70  Khatima!Print_Area</vt:lpstr>
      <vt:lpstr>70  Khatima!Print_Titles</vt:lpstr>
    </vt:vector>
  </ap:TitlesOfParts>
</ap:Properties>
</file>