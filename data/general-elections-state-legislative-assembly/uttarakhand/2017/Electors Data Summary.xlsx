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db8fbdc4845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4024fc55d24c7d974be3b008c6ac39.psmdcp" Id="R02527a3e6af3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lectorsDataSummary" sheetId="2" r:id="rId2"/>
  </x:sheets>
  <x:definedNames/>
  <x:calcPr calcId="125725"/>
</x:workbook>
</file>

<file path=xl/calcChain.xml><?xml version="1.0" encoding="utf-8"?>
<x:calcChain xmlns:x="http://schemas.openxmlformats.org/spreadsheetml/2006/main">
  <x:c r="I3" i="2"/>
  <x:c r="I6" i="2"/>
  <x:c r="I7" i="2"/>
  <x:c r="I8" i="2"/>
  <x:c r="C9" i="2"/>
  <x:c r="E9" i="2"/>
  <x:c r="G9" i="2"/>
  <x:c r="I9" i="2"/>
  <x:c r="I12" i="2"/>
  <x:c r="I13" i="2"/>
  <x:c r="I14" i="2"/>
  <x:c r="I15" i="2"/>
  <x:c r="C16" i="2"/>
  <x:c r="E16" i="2"/>
  <x:c r="G16" i="2"/>
  <x:c r="I16" i="2"/>
  <x:c r="I17" i="2"/>
  <x:c r="I20" i="2"/>
  <x:c r="C21" i="2"/>
  <x:c r="E21" i="2"/>
  <x:c r="G21" i="2"/>
  <x:c r="I21" i="2"/>
  <x:c r="I22" i="2"/>
  <x:c r="C24" i="2"/>
  <x:c r="E24" i="2"/>
  <x:c r="G24" i="2"/>
  <x:c r="I24" i="2"/>
  <x:c r="C26" i="2"/>
  <x:c r="E26" i="2"/>
  <x:c r="G26" i="2"/>
  <x:c r="I26" i="2"/>
  <x:c r="I28" i="2"/>
  <x:c r="C30" i="2"/>
  <x:c r="E30" i="2"/>
  <x:c r="G30" i="2"/>
  <x:c r="I30" i="2"/>
</x:calcChain>
</file>

<file path=xl/sharedStrings.xml><?xml version="1.0" encoding="utf-8"?>
<x:sst xmlns:x="http://schemas.openxmlformats.org/spreadsheetml/2006/main" count="22" uniqueCount="22">
  <x:si>
    <x:t>Electors Data Summary</x:t>
  </x:si>
  <x:si>
    <x:t>TYPE OF CONSTUTENCIES</x:t>
  </x:si>
  <x:si>
    <x:t>Gen</x:t>
  </x:si>
  <x:si>
    <x:t>SC</x:t>
  </x:si>
  <x:si>
    <x:t>ST</x:t>
  </x:si>
  <x:si>
    <x:t>Total</x:t>
  </x:si>
  <x:si>
    <x:t>NO. OF CONSTITUENCIES</x:t>
  </x:si>
  <x:si>
    <x:t>ELECTORS</x:t>
  </x:si>
  <x:si>
    <x:t>Male</x:t>
  </x:si>
  <x:si>
    <x:t>Female</x:t>
  </x:si>
  <x:si>
    <x:t>Others</x:t>
  </x:si>
  <x:si>
    <x:t>ELECTORS WHO VOTED</x:t>
  </x:si>
  <x:si>
    <x:t>Postal</x:t>
  </x:si>
  <x:si>
    <x:t>PROXY</x:t>
  </x:si>
  <x:si>
    <x:t>REJECTED VOTES</x:t>
  </x:si>
  <x:si>
    <x:t>Votes</x:t>
  </x:si>
  <x:si>
    <x:t>Percentage(to postal votes)</x:t>
  </x:si>
  <x:si>
    <x:t xml:space="preserve">Votes not Retreived from EVM </x:t>
  </x:si>
  <x:si>
    <x:t>VALID VOTES</x:t>
  </x:si>
  <x:si>
    <x:t>Poll Percentage</x:t>
  </x:si>
  <x:si>
    <x:t>No. of Polling Stations</x:t>
  </x:si>
  <x:si>
    <x:t>Average No. of Electors Per Polling Station(including Service Electors)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</x:si>
</x:sst>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0"/>
  <x:sheetViews>
    <x:sheetView workbookViewId="0"/>
  </x:sheetViews>
  <x:sheetFormatPr defaultRowHeight="15"/>
  <x:sheetData>
    <x:row r="1" spans="1:9">
      <x:c r="A1" s="0" t="s">
        <x:v>0</x:v>
      </x:c>
    </x:row>
    <x:row r="2" spans="1:9">
      <x:c r="A2" s="0" t="s">
        <x:v>1</x:v>
      </x:c>
      <x:c r="C2" s="0" t="s">
        <x:v>2</x:v>
      </x:c>
      <x:c r="E2" s="0" t="s">
        <x:v>3</x:v>
      </x:c>
      <x:c r="G2" s="0" t="s">
        <x:v>4</x:v>
      </x:c>
      <x:c r="I2" s="0" t="s">
        <x:v>5</x:v>
      </x:c>
    </x:row>
    <x:row r="3" spans="1:9">
      <x:c r="A3" s="0" t="s">
        <x:v>6</x:v>
      </x:c>
      <x:c r="C3" s="0" t="n">
        <x:v>55</x:v>
      </x:c>
      <x:c r="E3" s="0" t="n">
        <x:v>13</x:v>
      </x:c>
      <x:c r="G3" s="0" t="n">
        <x:v>2</x:v>
      </x:c>
      <x:c r="I3" s="0">
        <x:f>SUM(C3:E3:G3)</x:f>
      </x:c>
    </x:row>
    <x:row r="5" spans="1:9">
      <x:c r="A5" s="0" t="s">
        <x:v>7</x:v>
      </x:c>
    </x:row>
    <x:row r="6" spans="1:9">
      <x:c r="B6" s="0" t="s">
        <x:v>8</x:v>
      </x:c>
      <x:c r="C6" s="0" t="n">
        <x:v>3175781</x:v>
      </x:c>
      <x:c r="E6" s="0" t="n">
        <x:v>711755</x:v>
      </x:c>
      <x:c r="G6" s="0" t="n">
        <x:v>110783</x:v>
      </x:c>
      <x:c r="I6" s="0">
        <x:f>SUM(C6:E6:G6)</x:f>
      </x:c>
    </x:row>
    <x:row r="7" spans="1:9">
      <x:c r="B7" s="0" t="s">
        <x:v>9</x:v>
      </x:c>
      <x:c r="C7" s="0" t="n">
        <x:v>2868311</x:v>
      </x:c>
      <x:c r="E7" s="0" t="n">
        <x:v>642626</x:v>
      </x:c>
      <x:c r="G7" s="0" t="n">
        <x:v>97291</x:v>
      </x:c>
      <x:c r="I7" s="0">
        <x:f>SUM(C7:E7:G7)</x:f>
      </x:c>
    </x:row>
    <x:row r="8" spans="1:9">
      <x:c r="B8" s="0" t="s">
        <x:v>10</x:v>
      </x:c>
      <x:c r="C8" s="0" t="n">
        <x:v>113</x:v>
      </x:c>
      <x:c r="E8" s="0" t="n">
        <x:v>27</x:v>
      </x:c>
      <x:c r="G8" s="0" t="n">
        <x:v>1</x:v>
      </x:c>
      <x:c r="I8" s="0">
        <x:f>SUM(C8:E8:G8)</x:f>
      </x:c>
    </x:row>
    <x:row r="9" spans="1:9">
      <x:c r="B9" s="0" t="s">
        <x:v>5</x:v>
      </x:c>
      <x:c r="C9" s="0">
        <x:f>SUM(C6:C7:C8)</x:f>
      </x:c>
      <x:c r="E9" s="0">
        <x:f>SUM(E6:E7:E8)</x:f>
      </x:c>
      <x:c r="G9" s="0">
        <x:f>SUM(G6:G7:G8)</x:f>
      </x:c>
      <x:c r="I9" s="0">
        <x:f>SUM(C9:E9:G9)</x:f>
      </x:c>
    </x:row>
    <x:row r="11" spans="1:9">
      <x:c r="A11" s="0" t="s">
        <x:v>11</x:v>
      </x:c>
    </x:row>
    <x:row r="12" spans="1:9">
      <x:c r="B12" s="0" t="s">
        <x:v>8</x:v>
      </x:c>
      <x:c r="C12" s="0" t="n">
        <x:v>1937154</x:v>
      </x:c>
      <x:c r="E12" s="0" t="n">
        <x:v>425870</x:v>
      </x:c>
      <x:c r="G12" s="0" t="n">
        <x:v>80343</x:v>
      </x:c>
      <x:c r="I12" s="0">
        <x:f>SUM(C12:E12:G12)</x:f>
      </x:c>
    </x:row>
    <x:row r="13" spans="1:9">
      <x:c r="B13" s="0" t="s">
        <x:v>9</x:v>
      </x:c>
      <x:c r="C13" s="0" t="n">
        <x:v>1971600</x:v>
      </x:c>
      <x:c r="E13" s="0" t="n">
        <x:v>434294</x:v>
      </x:c>
      <x:c r="G13" s="0" t="n">
        <x:v>73586</x:v>
      </x:c>
      <x:c r="I13" s="0">
        <x:f>SUM(C13:E13:G13)</x:f>
      </x:c>
    </x:row>
    <x:row r="14" spans="1:9">
      <x:c r="B14" s="0" t="s">
        <x:v>10</x:v>
      </x:c>
      <x:c r="C14" s="0" t="n">
        <x:v>13</x:v>
      </x:c>
      <x:c r="E14" s="0" t="n">
        <x:v>0</x:v>
      </x:c>
      <x:c r="G14" s="0" t="n">
        <x:v>0</x:v>
      </x:c>
      <x:c r="I14" s="0">
        <x:f>SUM(C14:E14:G14)</x:f>
      </x:c>
    </x:row>
    <x:row r="15" spans="1:9">
      <x:c r="B15" s="0" t="s">
        <x:v>12</x:v>
      </x:c>
      <x:c r="C15" s="0" t="n">
        <x:v>53637</x:v>
      </x:c>
      <x:c r="E15" s="0" t="n">
        <x:v>11897</x:v>
      </x:c>
      <x:c r="G15" s="0" t="n">
        <x:v>1296</x:v>
      </x:c>
      <x:c r="I15" s="0">
        <x:f>SUM(C15:E15:G15)</x:f>
      </x:c>
    </x:row>
    <x:row r="16" spans="1:9">
      <x:c r="B16" s="0" t="s">
        <x:v>5</x:v>
      </x:c>
      <x:c r="C16" s="0">
        <x:f>SUM(C12:C13:C14:C15)</x:f>
      </x:c>
      <x:c r="E16" s="0">
        <x:f>SUM(E12:E13:E14:E15)</x:f>
      </x:c>
      <x:c r="G16" s="0">
        <x:f>SUM(G12:G13:G14:G15)</x:f>
      </x:c>
      <x:c r="I16" s="0">
        <x:f>SUM(C16:E16:G16)</x:f>
      </x:c>
    </x:row>
    <x:row r="17" spans="1:9">
      <x:c r="B17" s="0" t="s">
        <x:v>13</x:v>
      </x:c>
      <x:c r="C17" s="0" t="n">
        <x:v>21</x:v>
      </x:c>
      <x:c r="E17" s="0" t="n">
        <x:v>2</x:v>
      </x:c>
      <x:c r="G17" s="0" t="n">
        <x:v>0</x:v>
      </x:c>
      <x:c r="I17" s="0">
        <x:f>SUM(C17:E17:G17)</x:f>
      </x:c>
    </x:row>
    <x:row r="19" spans="1:9">
      <x:c r="A19" s="0" t="s">
        <x:v>14</x:v>
      </x:c>
    </x:row>
    <x:row r="20" spans="1:9">
      <x:c r="B20" s="0" t="s">
        <x:v>15</x:v>
      </x:c>
      <x:c r="C20" s="0" t="n">
        <x:v>10912</x:v>
      </x:c>
      <x:c r="E20" s="0" t="n">
        <x:v>2780</x:v>
      </x:c>
      <x:c r="G20" s="0" t="n">
        <x:v>504</x:v>
      </x:c>
      <x:c r="I20" s="0">
        <x:f>SUM(C20:E20:G20)</x:f>
      </x:c>
    </x:row>
    <x:row r="21" spans="1:9">
      <x:c r="B21" s="0" t="s">
        <x:v>16</x:v>
      </x:c>
      <x:c r="C21" s="0">
        <x:f>C20/C15*100</x:f>
      </x:c>
      <x:c r="E21" s="0">
        <x:f>E20/E15*100</x:f>
      </x:c>
      <x:c r="G21" s="0">
        <x:f>G20/G15*100</x:f>
      </x:c>
      <x:c r="I21" s="0">
        <x:f>I20/I15*100</x:f>
      </x:c>
    </x:row>
    <x:row r="22" spans="1:9">
      <x:c r="B22" s="0" t="s">
        <x:v>17</x:v>
      </x:c>
      <x:c r="C22" s="0" t="n">
        <x:v>0</x:v>
      </x:c>
      <x:c r="E22" s="0" t="n">
        <x:v>0</x:v>
      </x:c>
      <x:c r="G22" s="0" t="n">
        <x:v>0</x:v>
      </x:c>
      <x:c r="I22" s="0">
        <x:f>SUM(C22:E22:G22)</x:f>
      </x:c>
    </x:row>
    <x:row r="24" spans="1:9">
      <x:c r="A24" s="0" t="s">
        <x:v>18</x:v>
      </x:c>
      <x:c r="C24" s="0">
        <x:f>C16-C20-C22</x:f>
      </x:c>
      <x:c r="E24" s="0">
        <x:f>E16-E20-E22</x:f>
      </x:c>
      <x:c r="G24" s="0">
        <x:f>G16-G20-G22</x:f>
      </x:c>
      <x:c r="I24" s="0">
        <x:f>SUM(C24:E24:G24)</x:f>
      </x:c>
    </x:row>
    <x:row r="26" spans="1:9">
      <x:c r="A26" s="0" t="s">
        <x:v>19</x:v>
      </x:c>
      <x:c r="C26" s="0">
        <x:f>C16/C9*100</x:f>
      </x:c>
      <x:c r="E26" s="0">
        <x:f>E16/E9*100</x:f>
      </x:c>
      <x:c r="G26" s="0">
        <x:f>G16/G9*100</x:f>
      </x:c>
      <x:c r="I26" s="0">
        <x:f>I16/I9*100</x:f>
      </x:c>
    </x:row>
    <x:row r="28" spans="1:9">
      <x:c r="A28" s="0" t="s">
        <x:v>20</x:v>
      </x:c>
      <x:c r="C28" s="0" t="n">
        <x:v>8473</x:v>
      </x:c>
      <x:c r="E28" s="0" t="n">
        <x:v>2029</x:v>
      </x:c>
      <x:c r="G28" s="0" t="n">
        <x:v>352</x:v>
      </x:c>
      <x:c r="I28" s="0">
        <x:f>SUM(C28:E28:G28)</x:f>
      </x:c>
    </x:row>
    <x:row r="30" spans="1:9">
      <x:c r="A30" s="0" t="s">
        <x:v>21</x:v>
      </x:c>
      <x:c r="C30" s="0">
        <x:f>C9/C28</x:f>
      </x:c>
      <x:c r="E30" s="0">
        <x:f>E9/E28</x:f>
      </x:c>
      <x:c r="G30" s="0">
        <x:f>G9/G28</x:f>
      </x:c>
      <x:c r="I30" s="0">
        <x:f>I9/I28</x:f>
      </x:c>
    </x:row>
  </x:sheetData>
  <x:mergeCells count="1">
    <x:mergeCell ref="A1:N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ElectorsDataSummary</vt:lpstr>
      <vt:lpstr>ElectorsDataSummary!Print_Area</vt:lpstr>
      <vt:lpstr>ElectorsDataSummary!Print_Titles</vt:lpstr>
    </vt:vector>
  </ap:TitlesOfParts>
</ap:Properties>
</file>