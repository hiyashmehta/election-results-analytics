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70" yWindow="600" windowWidth="19815" windowHeight="6855"/>
  </bookViews>
  <sheets>
    <sheet name="WorksheetName" sheetId="2" r:id="rId1"/>
  </sheets>
  <calcPr calcId="125725"/>
</workbook>
</file>

<file path=xl/calcChain.xml><?xml version="1.0" encoding="utf-8"?>
<calcChain xmlns="http://schemas.openxmlformats.org/spreadsheetml/2006/main">
  <c r="I75" i="2"/>
  <c r="J75"/>
  <c r="I53"/>
  <c r="J53"/>
  <c r="I42"/>
  <c r="J42"/>
  <c r="I48"/>
  <c r="J48"/>
  <c r="I49"/>
  <c r="J49"/>
  <c r="I51"/>
  <c r="J51"/>
  <c r="I52"/>
  <c r="J52"/>
  <c r="I87"/>
  <c r="J87"/>
  <c r="I34"/>
  <c r="J34"/>
  <c r="I7"/>
  <c r="J7"/>
  <c r="I89"/>
  <c r="J89"/>
  <c r="I81"/>
  <c r="J81"/>
  <c r="I46"/>
  <c r="J46"/>
  <c r="I74"/>
  <c r="J74"/>
  <c r="I19"/>
  <c r="J19"/>
  <c r="I56"/>
  <c r="J56"/>
  <c r="I58"/>
  <c r="J58"/>
  <c r="I63"/>
  <c r="J63"/>
  <c r="I66"/>
  <c r="J66"/>
  <c r="I29"/>
  <c r="J29"/>
  <c r="I43"/>
  <c r="J43"/>
  <c r="I13"/>
  <c r="J13"/>
  <c r="I9"/>
  <c r="J9"/>
  <c r="I11"/>
  <c r="J11"/>
  <c r="I90"/>
  <c r="J90"/>
  <c r="I76"/>
  <c r="J76"/>
  <c r="I4"/>
  <c r="J4"/>
  <c r="I45"/>
  <c r="J45"/>
  <c r="I23"/>
  <c r="J23"/>
  <c r="I36"/>
  <c r="J36"/>
  <c r="I39"/>
  <c r="J39"/>
  <c r="I91"/>
  <c r="J91"/>
  <c r="I37"/>
  <c r="J37"/>
  <c r="I32"/>
  <c r="J32"/>
  <c r="I14"/>
  <c r="J14"/>
  <c r="I8"/>
  <c r="J8"/>
  <c r="I40"/>
  <c r="J40"/>
  <c r="I41"/>
  <c r="J41"/>
  <c r="I57"/>
  <c r="J57"/>
  <c r="I78"/>
  <c r="J78"/>
  <c r="I88"/>
  <c r="J88"/>
  <c r="I93"/>
  <c r="J93"/>
  <c r="I5"/>
  <c r="J5"/>
  <c r="I27"/>
  <c r="J27"/>
  <c r="I59"/>
  <c r="J59"/>
  <c r="I69"/>
  <c r="J69"/>
  <c r="I70"/>
  <c r="J70"/>
  <c r="I71"/>
  <c r="J71"/>
  <c r="I72"/>
  <c r="J72"/>
  <c r="I77"/>
  <c r="J77"/>
  <c r="I24"/>
  <c r="J24"/>
  <c r="I31"/>
  <c r="J31"/>
  <c r="I22"/>
  <c r="J22"/>
  <c r="I10"/>
  <c r="J10"/>
  <c r="I54"/>
  <c r="J54"/>
  <c r="I79"/>
  <c r="J79"/>
  <c r="I30"/>
  <c r="J30"/>
  <c r="I3"/>
  <c r="J3"/>
  <c r="I44"/>
  <c r="J44"/>
  <c r="I61"/>
  <c r="J61"/>
  <c r="I25"/>
  <c r="J25"/>
  <c r="I83"/>
  <c r="J83"/>
  <c r="I67"/>
  <c r="J67"/>
  <c r="I68"/>
  <c r="J68"/>
  <c r="I15"/>
  <c r="J15"/>
  <c r="I12"/>
  <c r="J12"/>
  <c r="I47"/>
  <c r="J47"/>
  <c r="I85"/>
  <c r="J85"/>
  <c r="I28"/>
  <c r="J28"/>
  <c r="I55"/>
  <c r="J55"/>
  <c r="I86"/>
  <c r="J86"/>
  <c r="I60"/>
  <c r="J60"/>
  <c r="I62"/>
  <c r="J62"/>
  <c r="I38"/>
  <c r="J38"/>
  <c r="I20"/>
  <c r="J20"/>
  <c r="I50"/>
  <c r="J50"/>
  <c r="I16"/>
  <c r="J16"/>
  <c r="I92"/>
  <c r="J92"/>
  <c r="I26"/>
  <c r="J26"/>
  <c r="I17"/>
  <c r="J17"/>
  <c r="I6"/>
  <c r="J6"/>
  <c r="I21"/>
  <c r="J21"/>
  <c r="I73"/>
  <c r="J73"/>
  <c r="I80"/>
  <c r="J80"/>
  <c r="I84"/>
  <c r="J84"/>
  <c r="I35"/>
  <c r="J35"/>
  <c r="I65"/>
  <c r="J65"/>
  <c r="I82"/>
  <c r="J82"/>
  <c r="I33"/>
  <c r="J33"/>
  <c r="I64"/>
  <c r="J64"/>
  <c r="I18"/>
  <c r="J18"/>
</calcChain>
</file>

<file path=xl/sharedStrings.xml><?xml version="1.0" encoding="utf-8"?>
<sst xmlns="http://schemas.openxmlformats.org/spreadsheetml/2006/main" count="468" uniqueCount="192">
  <si>
    <t>Performance Of Women Candidates</t>
  </si>
  <si>
    <t>Constituency Name</t>
  </si>
  <si>
    <t>Constituency No.</t>
  </si>
  <si>
    <t>Candidate No.</t>
  </si>
  <si>
    <t>Candidate Name</t>
  </si>
  <si>
    <t>Party Type</t>
  </si>
  <si>
    <t>Party Name</t>
  </si>
  <si>
    <t xml:space="preserve"> Vote Secured</t>
  </si>
  <si>
    <t xml:space="preserve"> Total Valid Votes</t>
  </si>
  <si>
    <t xml:space="preserve"> % of Votes Secured Over Total Electors</t>
  </si>
  <si>
    <t xml:space="preserve"> % of Votes Secured Over Total Votes Poled</t>
  </si>
  <si>
    <t xml:space="preserve"> Status</t>
  </si>
  <si>
    <t>Total Electors</t>
  </si>
  <si>
    <t>Teok</t>
  </si>
  <si>
    <t>KRISHNAA GOGOI</t>
  </si>
  <si>
    <t>Z</t>
  </si>
  <si>
    <t>IND</t>
  </si>
  <si>
    <t>FD</t>
  </si>
  <si>
    <t>Majbat</t>
  </si>
  <si>
    <t>SAPNA DAIMARY</t>
  </si>
  <si>
    <t>Hajo</t>
  </si>
  <si>
    <t>MAKANI BARMAN</t>
  </si>
  <si>
    <t>U</t>
  </si>
  <si>
    <t>RPP</t>
  </si>
  <si>
    <t>Barama</t>
  </si>
  <si>
    <t>REKHA RANI DAS BORO</t>
  </si>
  <si>
    <t>L</t>
  </si>
  <si>
    <t>Panery</t>
  </si>
  <si>
    <t>SWARNALATA CHALIHA</t>
  </si>
  <si>
    <t>SUCI</t>
  </si>
  <si>
    <t>Sipajhar</t>
  </si>
  <si>
    <t>PAHESWARI BARUA</t>
  </si>
  <si>
    <t>Udalguri</t>
  </si>
  <si>
    <t>ANJALI PRABHA DAIMARI</t>
  </si>
  <si>
    <t>Dhakuakhana</t>
  </si>
  <si>
    <t>JUTIKA DOLEY</t>
  </si>
  <si>
    <t>Jalukbari</t>
  </si>
  <si>
    <t>Udharbond</t>
  </si>
  <si>
    <t>APARNA TEWARI</t>
  </si>
  <si>
    <t>SP</t>
  </si>
  <si>
    <t>Duliajan</t>
  </si>
  <si>
    <t>JHUMA DEB NATH</t>
  </si>
  <si>
    <t>SHS</t>
  </si>
  <si>
    <t>Mahmara</t>
  </si>
  <si>
    <t>DIBYA BURAGOHAIN GOGOI</t>
  </si>
  <si>
    <t>Nalbari</t>
  </si>
  <si>
    <t>SHRISTI SARMA</t>
  </si>
  <si>
    <t>Titabar</t>
  </si>
  <si>
    <t>SMRITIREKHA SHYAM</t>
  </si>
  <si>
    <t>Kokrajhar East</t>
  </si>
  <si>
    <t>PRATIBHA BRAHMA</t>
  </si>
  <si>
    <t>Sootea</t>
  </si>
  <si>
    <t>JYOTI SUBBA</t>
  </si>
  <si>
    <t>Jagiroad</t>
  </si>
  <si>
    <t>MAMANI DAS</t>
  </si>
  <si>
    <t>Nowgong</t>
  </si>
  <si>
    <t>SHANTANA MAHATO</t>
  </si>
  <si>
    <t>Jamunamukh</t>
  </si>
  <si>
    <t>SUMITRA BORA</t>
  </si>
  <si>
    <t>Patacharkuchi</t>
  </si>
  <si>
    <t>NILIMA BHATTACHARJYA</t>
  </si>
  <si>
    <t>TRIPTI KANA MAJUMDAR CHOUDHURY</t>
  </si>
  <si>
    <t>BILASIPARA WEST</t>
  </si>
  <si>
    <t>AJMIRA AKTAR</t>
  </si>
  <si>
    <t>JNCP</t>
  </si>
  <si>
    <t>Katigorah</t>
  </si>
  <si>
    <t>SUJATA SINHA</t>
  </si>
  <si>
    <t>Diphu</t>
  </si>
  <si>
    <t>MARY KRAMSAPI</t>
  </si>
  <si>
    <t>ANJALI SENAPATI</t>
  </si>
  <si>
    <t>RENUPOMA RAJKHOWA</t>
  </si>
  <si>
    <t>S</t>
  </si>
  <si>
    <t>AGP</t>
  </si>
  <si>
    <t>W</t>
  </si>
  <si>
    <t>Algapur</t>
  </si>
  <si>
    <t>MEHNAZ SAHID CHOUDHURY</t>
  </si>
  <si>
    <t>Kamalpur</t>
  </si>
  <si>
    <t>MADHABI DEKA</t>
  </si>
  <si>
    <t>AITC</t>
  </si>
  <si>
    <t>Goalpara West</t>
  </si>
  <si>
    <t>ZESMINA KHATUN</t>
  </si>
  <si>
    <t xml:space="preserve">Dispur </t>
  </si>
  <si>
    <t>BANDANA BARMAN BARUAH</t>
  </si>
  <si>
    <t>RAJPA</t>
  </si>
  <si>
    <t>Gauhati East</t>
  </si>
  <si>
    <t>AMIYA GOGOI</t>
  </si>
  <si>
    <t>SANGITA DAS</t>
  </si>
  <si>
    <t>N</t>
  </si>
  <si>
    <t>CPM</t>
  </si>
  <si>
    <t>Boko SC</t>
  </si>
  <si>
    <t>NANDITA DAS</t>
  </si>
  <si>
    <t>INC</t>
  </si>
  <si>
    <t>SABANA AKTAR</t>
  </si>
  <si>
    <t>Barkhola</t>
  </si>
  <si>
    <t>DR. RUMI NATH</t>
  </si>
  <si>
    <t>BOBBEETA SHARMA</t>
  </si>
  <si>
    <t>Gauhati West</t>
  </si>
  <si>
    <t>DR. JURY SHARMA BORDOLOI</t>
  </si>
  <si>
    <t>Gohpur</t>
  </si>
  <si>
    <t>MONIKA BORA</t>
  </si>
  <si>
    <t>Amguri</t>
  </si>
  <si>
    <t>ANGKITA DUTTA</t>
  </si>
  <si>
    <t>Dhemaji</t>
  </si>
  <si>
    <t>SUMITRA DOLEY PATIR</t>
  </si>
  <si>
    <t>Naharkatia</t>
  </si>
  <si>
    <t>PRANATEE PHUKAN</t>
  </si>
  <si>
    <t>Silchar</t>
  </si>
  <si>
    <t>BITHIKA DEV</t>
  </si>
  <si>
    <t>Sorbhog</t>
  </si>
  <si>
    <t>ANURUPA HANNAN</t>
  </si>
  <si>
    <t>Marigaon</t>
  </si>
  <si>
    <t>JONJONALI BARUAH</t>
  </si>
  <si>
    <t>Sarupathar</t>
  </si>
  <si>
    <t>ROSELINA TIRKEY</t>
  </si>
  <si>
    <t>Golaghat</t>
  </si>
  <si>
    <t>AJANTA NEOG</t>
  </si>
  <si>
    <t>Khumtai</t>
  </si>
  <si>
    <t>BISMITA GOGOI</t>
  </si>
  <si>
    <t>Dergaon</t>
  </si>
  <si>
    <t>AROTI HAZARIKA KACHARI</t>
  </si>
  <si>
    <t>PALLABI SAIKIA GOGOI</t>
  </si>
  <si>
    <t>BABLI GOSWAMI CHAKRABORTY</t>
  </si>
  <si>
    <t>Chenga</t>
  </si>
  <si>
    <t>MONOWARA KHATUN</t>
  </si>
  <si>
    <t>AIUDF</t>
  </si>
  <si>
    <t>Dudhnai</t>
  </si>
  <si>
    <t>MEERA BASUMATARY</t>
  </si>
  <si>
    <t xml:space="preserve">Haflong </t>
  </si>
  <si>
    <t>NEIKHOL HAOLAI CHANGSAN</t>
  </si>
  <si>
    <t>Barchalla</t>
  </si>
  <si>
    <t>BINA DAIMARI</t>
  </si>
  <si>
    <t>GAYATRI BORAH KALITA</t>
  </si>
  <si>
    <t>Jania</t>
  </si>
  <si>
    <t>BENAZIR ARFAN</t>
  </si>
  <si>
    <t>BJP</t>
  </si>
  <si>
    <t>Karimganj South</t>
  </si>
  <si>
    <t>SIPRA GOON</t>
  </si>
  <si>
    <t>SUMAN HARIPRIYA</t>
  </si>
  <si>
    <t>Batadroba</t>
  </si>
  <si>
    <t>ANGOORLATA DEKA</t>
  </si>
  <si>
    <t>JABEEN BARBHUIYAN</t>
  </si>
  <si>
    <t>Sibsagar</t>
  </si>
  <si>
    <t>SURABHI RAJKONWAR</t>
  </si>
  <si>
    <t>SUNTI BORA</t>
  </si>
  <si>
    <t>JMBP</t>
  </si>
  <si>
    <t>Bokakhat</t>
  </si>
  <si>
    <t>ANIMA GOGOI</t>
  </si>
  <si>
    <t>Kokrajhar West</t>
  </si>
  <si>
    <t>SUBHADRA NARZARY</t>
  </si>
  <si>
    <t>Dhubri</t>
  </si>
  <si>
    <t>MUKTA BEGUM</t>
  </si>
  <si>
    <t>RPI(A)</t>
  </si>
  <si>
    <t>Barkhetry</t>
  </si>
  <si>
    <t>MANOMATI DAS</t>
  </si>
  <si>
    <t>Naoboicha</t>
  </si>
  <si>
    <t>SAHEBA AHMED</t>
  </si>
  <si>
    <t>MANJU SHABNAM</t>
  </si>
  <si>
    <t>Rangapara</t>
  </si>
  <si>
    <t>ARCHANA PAUL CHOUDHURY</t>
  </si>
  <si>
    <t>Lakhimpur</t>
  </si>
  <si>
    <t>MINAKHI GOHAIN BARUAH</t>
  </si>
  <si>
    <t>KHAIRUN NESSA</t>
  </si>
  <si>
    <t>RAJASREE BORA</t>
  </si>
  <si>
    <t>RIJUMONI GOGOI</t>
  </si>
  <si>
    <t>BHARP</t>
  </si>
  <si>
    <t>PRAMILA RANI BRAHMA</t>
  </si>
  <si>
    <t>BOPF</t>
  </si>
  <si>
    <t>KAMALI BASUMATARI</t>
  </si>
  <si>
    <t>ARUNA BRAHMA</t>
  </si>
  <si>
    <t>Tingkhong</t>
  </si>
  <si>
    <t>MIRA TANTI</t>
  </si>
  <si>
    <t>CPI(ML)(L)</t>
  </si>
  <si>
    <t>JALI BEGUM</t>
  </si>
  <si>
    <t>SUJILA BASUMATARY</t>
  </si>
  <si>
    <t>RITA MAZUMDER</t>
  </si>
  <si>
    <t>Bongaigaon</t>
  </si>
  <si>
    <t>DHIRABATI CHOUDHURY</t>
  </si>
  <si>
    <t>RITA DAS</t>
  </si>
  <si>
    <t>Nazira</t>
  </si>
  <si>
    <t>RIBULAYA GOGOI</t>
  </si>
  <si>
    <t>Bihpuria</t>
  </si>
  <si>
    <t>GARGI DEORI</t>
  </si>
  <si>
    <t>BAPI AICH</t>
  </si>
  <si>
    <t>BGANP</t>
  </si>
  <si>
    <t>Barhampur</t>
  </si>
  <si>
    <t>ABIDA BEGUM</t>
  </si>
  <si>
    <t>KALI BORUAH</t>
  </si>
  <si>
    <t>LDP</t>
  </si>
  <si>
    <t>Palasbari</t>
  </si>
  <si>
    <t>JURI MALI</t>
  </si>
  <si>
    <t>JESMIN AHMED</t>
  </si>
  <si>
    <t>NILIMA BRAHMA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</si>
</sst>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vertical="top" wrapText="1"/>
    </xf>
    <xf numFmtId="0" fontId="0" fillId="0" borderId="0" xfId="0" applyNumberFormat="1" applyFill="1" applyAlignment="1" applyProtection="1">
      <alignment horizontal="center"/>
    </xf>
    <xf numFmtId="0" fontId="1" fillId="0" borderId="0" xfId="0" applyNumberFormat="1" applyFont="1" applyFill="1" applyAlignment="1" applyProtection="1">
      <alignment horizontal="center"/>
    </xf>
    <xf numFmtId="0" fontId="1" fillId="0" borderId="0" xfId="0" applyNumberFormat="1" applyFont="1" applyFill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3"/>
  <sheetViews>
    <sheetView tabSelected="1" topLeftCell="A82" workbookViewId="0">
      <selection activeCell="D100" sqref="D100"/>
    </sheetView>
  </sheetViews>
  <sheetFormatPr defaultRowHeight="15"/>
  <cols>
    <col min="1" max="1" width="16.85546875" customWidth="1"/>
    <col min="2" max="2" width="9.140625" style="2"/>
    <col min="3" max="3" width="10.28515625" style="2" customWidth="1"/>
    <col min="4" max="4" width="28.28515625" customWidth="1"/>
    <col min="5" max="5" width="11.85546875" customWidth="1"/>
    <col min="9" max="9" width="12.42578125" customWidth="1"/>
    <col min="10" max="10" width="13" customWidth="1"/>
  </cols>
  <sheetData>
    <row r="1" spans="1:1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s="1" customFormat="1" ht="64.5" customHeight="1">
      <c r="A2" s="1" t="s">
        <v>1</v>
      </c>
      <c r="B2" s="4" t="s">
        <v>2</v>
      </c>
      <c r="C2" s="4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>
      <c r="A3" t="s">
        <v>135</v>
      </c>
      <c r="B3" s="2">
        <v>4</v>
      </c>
      <c r="C3" s="2">
        <v>3</v>
      </c>
      <c r="D3" t="s">
        <v>136</v>
      </c>
      <c r="E3" t="s">
        <v>87</v>
      </c>
      <c r="F3" t="s">
        <v>134</v>
      </c>
      <c r="G3">
        <v>11861</v>
      </c>
      <c r="H3">
        <v>128442</v>
      </c>
      <c r="I3">
        <f>G3/L3*100</f>
        <v>7.382211987303168</v>
      </c>
      <c r="J3">
        <f>G3/H3*100</f>
        <v>9.234518303981563</v>
      </c>
      <c r="K3" t="s">
        <v>17</v>
      </c>
      <c r="L3">
        <v>160670</v>
      </c>
    </row>
    <row r="4" spans="1:12">
      <c r="A4" t="s">
        <v>74</v>
      </c>
      <c r="B4" s="2">
        <v>8</v>
      </c>
      <c r="C4" s="2">
        <v>3</v>
      </c>
      <c r="D4" t="s">
        <v>75</v>
      </c>
      <c r="E4" t="s">
        <v>71</v>
      </c>
      <c r="F4" t="s">
        <v>72</v>
      </c>
      <c r="G4">
        <v>5822</v>
      </c>
      <c r="H4">
        <v>119393</v>
      </c>
      <c r="I4">
        <f>G4/L4*100</f>
        <v>4.0511014932435252</v>
      </c>
      <c r="J4">
        <f>G4/H4*100</f>
        <v>4.8763327833290058</v>
      </c>
      <c r="K4" t="s">
        <v>17</v>
      </c>
      <c r="L4">
        <v>143714</v>
      </c>
    </row>
    <row r="5" spans="1:12">
      <c r="A5" t="s">
        <v>106</v>
      </c>
      <c r="B5" s="2">
        <v>9</v>
      </c>
      <c r="C5" s="2">
        <v>2</v>
      </c>
      <c r="D5" t="s">
        <v>107</v>
      </c>
      <c r="E5" t="s">
        <v>87</v>
      </c>
      <c r="F5" t="s">
        <v>91</v>
      </c>
      <c r="G5">
        <v>54867</v>
      </c>
      <c r="H5">
        <v>156594</v>
      </c>
      <c r="I5">
        <f>G5/L5*100</f>
        <v>26.268995432478238</v>
      </c>
      <c r="J5">
        <f>G5/H5*100</f>
        <v>35.037740909613397</v>
      </c>
      <c r="K5" t="s">
        <v>26</v>
      </c>
      <c r="L5">
        <v>208866</v>
      </c>
    </row>
    <row r="6" spans="1:12">
      <c r="A6" t="s">
        <v>106</v>
      </c>
      <c r="B6" s="2">
        <v>9</v>
      </c>
      <c r="C6" s="2">
        <v>14</v>
      </c>
      <c r="D6" t="s">
        <v>174</v>
      </c>
      <c r="E6" t="s">
        <v>15</v>
      </c>
      <c r="F6" t="s">
        <v>16</v>
      </c>
      <c r="G6">
        <v>526</v>
      </c>
      <c r="H6">
        <v>156594</v>
      </c>
      <c r="I6">
        <f>G6/L6*100</f>
        <v>0.2518361054455967</v>
      </c>
      <c r="J6">
        <f>G6/H6*100</f>
        <v>0.33590048149992979</v>
      </c>
      <c r="K6" t="s">
        <v>17</v>
      </c>
      <c r="L6">
        <v>208866</v>
      </c>
    </row>
    <row r="7" spans="1:12">
      <c r="A7" t="s">
        <v>37</v>
      </c>
      <c r="B7" s="2">
        <v>12</v>
      </c>
      <c r="C7" s="2">
        <v>4</v>
      </c>
      <c r="D7" t="s">
        <v>38</v>
      </c>
      <c r="E7" t="s">
        <v>22</v>
      </c>
      <c r="F7" t="s">
        <v>39</v>
      </c>
      <c r="G7">
        <v>542</v>
      </c>
      <c r="H7">
        <v>112160</v>
      </c>
      <c r="I7">
        <f>G7/L7*100</f>
        <v>0.38461538461538464</v>
      </c>
      <c r="J7">
        <f>G7/H7*100</f>
        <v>0.48323823109843084</v>
      </c>
      <c r="K7" t="s">
        <v>17</v>
      </c>
      <c r="L7">
        <v>140920</v>
      </c>
    </row>
    <row r="8" spans="1:12">
      <c r="A8" t="s">
        <v>93</v>
      </c>
      <c r="B8" s="2">
        <v>14</v>
      </c>
      <c r="C8" s="2">
        <v>4</v>
      </c>
      <c r="D8" t="s">
        <v>94</v>
      </c>
      <c r="E8" t="s">
        <v>87</v>
      </c>
      <c r="F8" t="s">
        <v>91</v>
      </c>
      <c r="G8">
        <v>21946</v>
      </c>
      <c r="H8">
        <v>104534</v>
      </c>
      <c r="I8">
        <f>G8/L8*100</f>
        <v>16.870896818929598</v>
      </c>
      <c r="J8">
        <f>G8/H8*100</f>
        <v>20.994126312969943</v>
      </c>
      <c r="K8" t="s">
        <v>26</v>
      </c>
      <c r="L8">
        <v>130082</v>
      </c>
    </row>
    <row r="9" spans="1:12">
      <c r="A9" t="s">
        <v>65</v>
      </c>
      <c r="B9" s="2">
        <v>15</v>
      </c>
      <c r="C9" s="2">
        <v>6</v>
      </c>
      <c r="D9" t="s">
        <v>66</v>
      </c>
      <c r="E9" t="s">
        <v>22</v>
      </c>
      <c r="F9" t="s">
        <v>64</v>
      </c>
      <c r="G9">
        <v>273</v>
      </c>
      <c r="H9">
        <v>135712</v>
      </c>
      <c r="I9">
        <f>G9/L9*100</f>
        <v>0.16960735586481113</v>
      </c>
      <c r="J9">
        <f>G9/H9*100</f>
        <v>0.20116128271634048</v>
      </c>
      <c r="K9" t="s">
        <v>17</v>
      </c>
      <c r="L9">
        <v>160960</v>
      </c>
    </row>
    <row r="10" spans="1:12">
      <c r="A10" t="s">
        <v>127</v>
      </c>
      <c r="B10" s="2">
        <v>16</v>
      </c>
      <c r="C10" s="2">
        <v>2</v>
      </c>
      <c r="D10" t="s">
        <v>128</v>
      </c>
      <c r="E10" t="s">
        <v>71</v>
      </c>
      <c r="F10" t="s">
        <v>124</v>
      </c>
      <c r="G10">
        <v>2723</v>
      </c>
      <c r="H10">
        <v>102495</v>
      </c>
      <c r="I10">
        <f>G10/L10*100</f>
        <v>2.1540506118832714</v>
      </c>
      <c r="J10">
        <f>G10/H10*100</f>
        <v>2.6567149617054491</v>
      </c>
      <c r="K10" t="s">
        <v>17</v>
      </c>
      <c r="L10">
        <v>126413</v>
      </c>
    </row>
    <row r="11" spans="1:12">
      <c r="A11" t="s">
        <v>67</v>
      </c>
      <c r="B11" s="2">
        <v>19</v>
      </c>
      <c r="C11" s="2">
        <v>4</v>
      </c>
      <c r="D11" t="s">
        <v>68</v>
      </c>
      <c r="E11" t="s">
        <v>22</v>
      </c>
      <c r="F11" t="s">
        <v>64</v>
      </c>
      <c r="G11">
        <v>1231</v>
      </c>
      <c r="H11">
        <v>138262</v>
      </c>
      <c r="I11">
        <f>G11/L11*100</f>
        <v>0.7152859691224237</v>
      </c>
      <c r="J11">
        <f>G11/H11*100</f>
        <v>0.89033863245143274</v>
      </c>
      <c r="K11" t="s">
        <v>17</v>
      </c>
      <c r="L11">
        <v>172099</v>
      </c>
    </row>
    <row r="12" spans="1:12">
      <c r="A12" t="s">
        <v>149</v>
      </c>
      <c r="B12" s="2">
        <v>23</v>
      </c>
      <c r="C12" s="2">
        <v>7</v>
      </c>
      <c r="D12" t="s">
        <v>150</v>
      </c>
      <c r="E12" t="s">
        <v>22</v>
      </c>
      <c r="F12" t="s">
        <v>151</v>
      </c>
      <c r="G12">
        <v>406</v>
      </c>
      <c r="H12">
        <v>152023</v>
      </c>
      <c r="I12">
        <f>G12/L12*100</f>
        <v>0.2351959773377669</v>
      </c>
      <c r="J12">
        <f>G12/H12*100</f>
        <v>0.26706485202896929</v>
      </c>
      <c r="K12" t="s">
        <v>17</v>
      </c>
      <c r="L12">
        <v>172622</v>
      </c>
    </row>
    <row r="13" spans="1:12">
      <c r="A13" t="s">
        <v>62</v>
      </c>
      <c r="B13" s="2">
        <v>26</v>
      </c>
      <c r="C13" s="2">
        <v>5</v>
      </c>
      <c r="D13" t="s">
        <v>63</v>
      </c>
      <c r="E13" t="s">
        <v>22</v>
      </c>
      <c r="F13" t="s">
        <v>64</v>
      </c>
      <c r="G13">
        <v>492</v>
      </c>
      <c r="H13">
        <v>137513</v>
      </c>
      <c r="I13">
        <f>G13/L13*100</f>
        <v>0.33301520904826687</v>
      </c>
      <c r="J13">
        <f>G13/H13*100</f>
        <v>0.35778435493371535</v>
      </c>
      <c r="K13" t="s">
        <v>17</v>
      </c>
      <c r="L13">
        <v>147741</v>
      </c>
    </row>
    <row r="14" spans="1:12">
      <c r="A14" t="s">
        <v>62</v>
      </c>
      <c r="B14" s="2">
        <v>26</v>
      </c>
      <c r="C14" s="2">
        <v>3</v>
      </c>
      <c r="D14" t="s">
        <v>92</v>
      </c>
      <c r="E14" t="s">
        <v>87</v>
      </c>
      <c r="F14" t="s">
        <v>91</v>
      </c>
      <c r="G14">
        <v>25515</v>
      </c>
      <c r="H14">
        <v>137513</v>
      </c>
      <c r="I14">
        <f>G14/L14*100</f>
        <v>17.270087518021402</v>
      </c>
      <c r="J14">
        <f>G14/H14*100</f>
        <v>18.554609382385664</v>
      </c>
      <c r="K14" t="s">
        <v>26</v>
      </c>
      <c r="L14">
        <v>147741</v>
      </c>
    </row>
    <row r="15" spans="1:12">
      <c r="A15" t="s">
        <v>147</v>
      </c>
      <c r="B15" s="2">
        <v>29</v>
      </c>
      <c r="C15" s="2">
        <v>10</v>
      </c>
      <c r="D15" t="s">
        <v>148</v>
      </c>
      <c r="E15" t="s">
        <v>15</v>
      </c>
      <c r="F15" t="s">
        <v>16</v>
      </c>
      <c r="G15">
        <v>1044</v>
      </c>
      <c r="H15">
        <v>140941</v>
      </c>
      <c r="I15">
        <f>G15/L15*100</f>
        <v>0.65422142011166884</v>
      </c>
      <c r="J15">
        <f>G15/H15*100</f>
        <v>0.74073548506112485</v>
      </c>
      <c r="K15" t="s">
        <v>17</v>
      </c>
      <c r="L15">
        <v>159579</v>
      </c>
    </row>
    <row r="16" spans="1:12">
      <c r="A16" t="s">
        <v>147</v>
      </c>
      <c r="B16" s="2">
        <v>29</v>
      </c>
      <c r="C16" s="2">
        <v>3</v>
      </c>
      <c r="D16" t="s">
        <v>168</v>
      </c>
      <c r="E16" t="s">
        <v>15</v>
      </c>
      <c r="F16" t="s">
        <v>16</v>
      </c>
      <c r="G16">
        <v>775</v>
      </c>
      <c r="H16">
        <v>140941</v>
      </c>
      <c r="I16">
        <f>G16/L16*100</f>
        <v>0.48565287412504149</v>
      </c>
      <c r="J16">
        <f>G16/H16*100</f>
        <v>0.54987547981070095</v>
      </c>
      <c r="K16" t="s">
        <v>17</v>
      </c>
      <c r="L16">
        <v>159579</v>
      </c>
    </row>
    <row r="17" spans="1:12">
      <c r="A17" t="s">
        <v>147</v>
      </c>
      <c r="B17" s="2">
        <v>29</v>
      </c>
      <c r="C17" s="2">
        <v>9</v>
      </c>
      <c r="D17" t="s">
        <v>173</v>
      </c>
      <c r="E17" t="s">
        <v>15</v>
      </c>
      <c r="F17" t="s">
        <v>16</v>
      </c>
      <c r="G17">
        <v>977</v>
      </c>
      <c r="H17">
        <v>140941</v>
      </c>
      <c r="I17">
        <f>G17/L17*100</f>
        <v>0.61223594583247165</v>
      </c>
      <c r="J17">
        <f>G17/H17*100</f>
        <v>0.69319786293555463</v>
      </c>
      <c r="K17" t="s">
        <v>17</v>
      </c>
      <c r="L17">
        <v>159579</v>
      </c>
    </row>
    <row r="18" spans="1:12">
      <c r="A18" t="s">
        <v>147</v>
      </c>
      <c r="B18" s="2">
        <v>29</v>
      </c>
      <c r="C18" s="2">
        <v>5</v>
      </c>
      <c r="D18" t="s">
        <v>191</v>
      </c>
      <c r="E18" t="s">
        <v>15</v>
      </c>
      <c r="F18" t="s">
        <v>16</v>
      </c>
      <c r="G18">
        <v>3545</v>
      </c>
      <c r="H18">
        <v>140941</v>
      </c>
      <c r="I18">
        <f>G18/L18*100</f>
        <v>2.2214702435784157</v>
      </c>
      <c r="J18">
        <f>G18/H18*100</f>
        <v>2.5152368721663674</v>
      </c>
      <c r="K18" t="s">
        <v>17</v>
      </c>
      <c r="L18">
        <v>159579</v>
      </c>
    </row>
    <row r="19" spans="1:12">
      <c r="A19" t="s">
        <v>49</v>
      </c>
      <c r="B19" s="2">
        <v>30</v>
      </c>
      <c r="C19" s="2">
        <v>4</v>
      </c>
      <c r="D19" t="s">
        <v>50</v>
      </c>
      <c r="E19" t="s">
        <v>15</v>
      </c>
      <c r="F19" t="s">
        <v>16</v>
      </c>
      <c r="G19">
        <v>36405</v>
      </c>
      <c r="H19">
        <v>138229</v>
      </c>
      <c r="I19">
        <f>G19/L19*100</f>
        <v>22.004158456535666</v>
      </c>
      <c r="J19">
        <f>G19/H19*100</f>
        <v>26.336731076691578</v>
      </c>
      <c r="K19" t="s">
        <v>26</v>
      </c>
      <c r="L19">
        <v>165446</v>
      </c>
    </row>
    <row r="20" spans="1:12">
      <c r="A20" t="s">
        <v>49</v>
      </c>
      <c r="B20" s="2">
        <v>30</v>
      </c>
      <c r="C20" s="2">
        <v>1</v>
      </c>
      <c r="D20" t="s">
        <v>165</v>
      </c>
      <c r="E20" t="s">
        <v>71</v>
      </c>
      <c r="F20" t="s">
        <v>166</v>
      </c>
      <c r="G20">
        <v>76496</v>
      </c>
      <c r="H20">
        <v>138229</v>
      </c>
      <c r="I20">
        <f>G20/L20*100</f>
        <v>46.236234179127933</v>
      </c>
      <c r="J20">
        <f>G20/H20*100</f>
        <v>55.340051653415713</v>
      </c>
      <c r="K20" t="s">
        <v>73</v>
      </c>
      <c r="L20">
        <v>165446</v>
      </c>
    </row>
    <row r="21" spans="1:12">
      <c r="A21" t="s">
        <v>175</v>
      </c>
      <c r="B21" s="2">
        <v>32</v>
      </c>
      <c r="C21" s="2">
        <v>5</v>
      </c>
      <c r="D21" t="s">
        <v>176</v>
      </c>
      <c r="E21" t="s">
        <v>15</v>
      </c>
      <c r="F21" t="s">
        <v>16</v>
      </c>
      <c r="G21">
        <v>1902</v>
      </c>
      <c r="H21">
        <v>137947</v>
      </c>
      <c r="I21">
        <f>G21/L21*100</f>
        <v>1.1899697189619358</v>
      </c>
      <c r="J21">
        <f>G21/H21*100</f>
        <v>1.3787904050106201</v>
      </c>
      <c r="K21" t="s">
        <v>17</v>
      </c>
      <c r="L21">
        <v>159836</v>
      </c>
    </row>
    <row r="22" spans="1:12">
      <c r="A22" t="s">
        <v>125</v>
      </c>
      <c r="B22" s="2">
        <v>36</v>
      </c>
      <c r="C22" s="2">
        <v>3</v>
      </c>
      <c r="D22" t="s">
        <v>126</v>
      </c>
      <c r="E22" t="s">
        <v>71</v>
      </c>
      <c r="F22" t="s">
        <v>124</v>
      </c>
      <c r="G22">
        <v>11305</v>
      </c>
      <c r="H22">
        <v>160054</v>
      </c>
      <c r="I22">
        <f>G22/L22*100</f>
        <v>6.1968295035958603</v>
      </c>
      <c r="J22">
        <f>G22/H22*100</f>
        <v>7.0632411561098136</v>
      </c>
      <c r="K22" t="s">
        <v>17</v>
      </c>
      <c r="L22">
        <v>182432</v>
      </c>
    </row>
    <row r="23" spans="1:12">
      <c r="A23" t="s">
        <v>79</v>
      </c>
      <c r="B23" s="2">
        <v>38</v>
      </c>
      <c r="C23" s="2">
        <v>9</v>
      </c>
      <c r="D23" t="s">
        <v>80</v>
      </c>
      <c r="E23" t="s">
        <v>22</v>
      </c>
      <c r="F23" t="s">
        <v>78</v>
      </c>
      <c r="G23">
        <v>582</v>
      </c>
      <c r="H23">
        <v>136264</v>
      </c>
      <c r="I23">
        <f>G23/L23*100</f>
        <v>0.39003337398973315</v>
      </c>
      <c r="J23">
        <f>G23/H23*100</f>
        <v>0.42711207655727118</v>
      </c>
      <c r="K23" t="s">
        <v>17</v>
      </c>
      <c r="L23">
        <v>149218</v>
      </c>
    </row>
    <row r="24" spans="1:12">
      <c r="A24" t="s">
        <v>79</v>
      </c>
      <c r="B24" s="2">
        <v>38</v>
      </c>
      <c r="C24" s="2">
        <v>12</v>
      </c>
      <c r="D24" t="s">
        <v>121</v>
      </c>
      <c r="E24" t="s">
        <v>15</v>
      </c>
      <c r="F24" t="s">
        <v>16</v>
      </c>
      <c r="G24">
        <v>480</v>
      </c>
      <c r="H24">
        <v>136264</v>
      </c>
      <c r="I24">
        <f>G24/L24*100</f>
        <v>0.32167700947606859</v>
      </c>
      <c r="J24">
        <f>G24/H24*100</f>
        <v>0.35225738272764634</v>
      </c>
      <c r="K24" t="s">
        <v>17</v>
      </c>
      <c r="L24">
        <v>149218</v>
      </c>
    </row>
    <row r="25" spans="1:12">
      <c r="A25" t="s">
        <v>79</v>
      </c>
      <c r="B25" s="2">
        <v>38</v>
      </c>
      <c r="C25" s="2">
        <v>3</v>
      </c>
      <c r="D25" t="s">
        <v>140</v>
      </c>
      <c r="E25" t="s">
        <v>87</v>
      </c>
      <c r="F25" t="s">
        <v>134</v>
      </c>
      <c r="G25">
        <v>32432</v>
      </c>
      <c r="H25">
        <v>136264</v>
      </c>
      <c r="I25">
        <f>G25/L25*100</f>
        <v>21.734643273599698</v>
      </c>
      <c r="J25">
        <f>G25/H25*100</f>
        <v>23.800857159631303</v>
      </c>
      <c r="K25" t="s">
        <v>26</v>
      </c>
      <c r="L25">
        <v>149218</v>
      </c>
    </row>
    <row r="26" spans="1:12">
      <c r="A26" t="s">
        <v>79</v>
      </c>
      <c r="B26" s="2">
        <v>38</v>
      </c>
      <c r="C26" s="2">
        <v>11</v>
      </c>
      <c r="D26" t="s">
        <v>172</v>
      </c>
      <c r="E26" t="s">
        <v>15</v>
      </c>
      <c r="F26" t="s">
        <v>16</v>
      </c>
      <c r="G26">
        <v>289</v>
      </c>
      <c r="H26">
        <v>136264</v>
      </c>
      <c r="I26">
        <f>G26/L26*100</f>
        <v>0.19367636612204961</v>
      </c>
      <c r="J26">
        <f>G26/H26*100</f>
        <v>0.21208829918393707</v>
      </c>
      <c r="K26" t="s">
        <v>17</v>
      </c>
      <c r="L26">
        <v>149218</v>
      </c>
    </row>
    <row r="27" spans="1:12">
      <c r="A27" t="s">
        <v>108</v>
      </c>
      <c r="B27" s="2">
        <v>40</v>
      </c>
      <c r="C27" s="2">
        <v>1</v>
      </c>
      <c r="D27" t="s">
        <v>109</v>
      </c>
      <c r="E27" t="s">
        <v>87</v>
      </c>
      <c r="F27" t="s">
        <v>91</v>
      </c>
      <c r="G27">
        <v>36928</v>
      </c>
      <c r="H27">
        <v>169347</v>
      </c>
      <c r="I27">
        <f>G27/L27*100</f>
        <v>18.787329948412175</v>
      </c>
      <c r="J27">
        <f>G27/H27*100</f>
        <v>21.806114073470447</v>
      </c>
      <c r="K27" t="s">
        <v>26</v>
      </c>
      <c r="L27">
        <v>196558</v>
      </c>
    </row>
    <row r="28" spans="1:12">
      <c r="A28" t="s">
        <v>108</v>
      </c>
      <c r="B28" s="2">
        <v>40</v>
      </c>
      <c r="C28" s="2">
        <v>6</v>
      </c>
      <c r="D28" t="s">
        <v>156</v>
      </c>
      <c r="E28" t="s">
        <v>22</v>
      </c>
      <c r="F28" t="s">
        <v>151</v>
      </c>
      <c r="G28">
        <v>466</v>
      </c>
      <c r="H28">
        <v>169347</v>
      </c>
      <c r="I28">
        <f>G28/L28*100</f>
        <v>0.23708014937066924</v>
      </c>
      <c r="J28">
        <f>G28/H28*100</f>
        <v>0.27517464141673603</v>
      </c>
      <c r="K28" t="s">
        <v>17</v>
      </c>
      <c r="L28">
        <v>196558</v>
      </c>
    </row>
    <row r="29" spans="1:12">
      <c r="A29" t="s">
        <v>59</v>
      </c>
      <c r="B29" s="2">
        <v>42</v>
      </c>
      <c r="C29" s="2">
        <v>5</v>
      </c>
      <c r="D29" t="s">
        <v>60</v>
      </c>
      <c r="E29" t="s">
        <v>15</v>
      </c>
      <c r="F29" t="s">
        <v>16</v>
      </c>
      <c r="G29">
        <v>846</v>
      </c>
      <c r="H29">
        <v>104592</v>
      </c>
      <c r="I29">
        <f>G29/L29*100</f>
        <v>0.65184728589590479</v>
      </c>
      <c r="J29">
        <f>G29/H29*100</f>
        <v>0.8088572739788894</v>
      </c>
      <c r="K29" t="s">
        <v>17</v>
      </c>
      <c r="L29">
        <v>129785</v>
      </c>
    </row>
    <row r="30" spans="1:12">
      <c r="A30" t="s">
        <v>132</v>
      </c>
      <c r="B30" s="2">
        <v>44</v>
      </c>
      <c r="C30" s="2">
        <v>2</v>
      </c>
      <c r="D30" t="s">
        <v>133</v>
      </c>
      <c r="E30" t="s">
        <v>87</v>
      </c>
      <c r="F30" t="s">
        <v>134</v>
      </c>
      <c r="G30">
        <v>6067</v>
      </c>
      <c r="H30">
        <v>154131</v>
      </c>
      <c r="I30">
        <f>G30/L30*100</f>
        <v>3.4921000374133015</v>
      </c>
      <c r="J30">
        <f>G30/H30*100</f>
        <v>3.9362620108868427</v>
      </c>
      <c r="K30" t="s">
        <v>17</v>
      </c>
      <c r="L30">
        <v>173735</v>
      </c>
    </row>
    <row r="31" spans="1:12">
      <c r="A31" t="s">
        <v>122</v>
      </c>
      <c r="B31" s="2">
        <v>47</v>
      </c>
      <c r="C31" s="2">
        <v>2</v>
      </c>
      <c r="D31" t="s">
        <v>123</v>
      </c>
      <c r="E31" t="s">
        <v>71</v>
      </c>
      <c r="F31" t="s">
        <v>124</v>
      </c>
      <c r="G31">
        <v>28525</v>
      </c>
      <c r="H31">
        <v>109805</v>
      </c>
      <c r="I31">
        <f>G31/L31*100</f>
        <v>23.254960786551663</v>
      </c>
      <c r="J31">
        <f>G31/H31*100</f>
        <v>25.977869860206731</v>
      </c>
      <c r="K31" t="s">
        <v>26</v>
      </c>
      <c r="L31">
        <v>122662</v>
      </c>
    </row>
    <row r="32" spans="1:12">
      <c r="A32" t="s">
        <v>89</v>
      </c>
      <c r="B32" s="2">
        <v>48</v>
      </c>
      <c r="C32" s="2">
        <v>3</v>
      </c>
      <c r="D32" t="s">
        <v>90</v>
      </c>
      <c r="E32" t="s">
        <v>87</v>
      </c>
      <c r="F32" t="s">
        <v>91</v>
      </c>
      <c r="G32">
        <v>69986</v>
      </c>
      <c r="H32">
        <v>176485</v>
      </c>
      <c r="I32">
        <f>G32/L32*100</f>
        <v>35.312578838488321</v>
      </c>
      <c r="J32">
        <f>G32/H32*100</f>
        <v>39.655494801257895</v>
      </c>
      <c r="K32" t="s">
        <v>73</v>
      </c>
      <c r="L32">
        <v>198190</v>
      </c>
    </row>
    <row r="33" spans="1:12">
      <c r="A33" t="s">
        <v>188</v>
      </c>
      <c r="B33" s="2">
        <v>50</v>
      </c>
      <c r="C33" s="2">
        <v>3</v>
      </c>
      <c r="D33" t="s">
        <v>189</v>
      </c>
      <c r="E33" t="s">
        <v>22</v>
      </c>
      <c r="F33" t="s">
        <v>187</v>
      </c>
      <c r="G33">
        <v>980</v>
      </c>
      <c r="H33">
        <v>121435</v>
      </c>
      <c r="I33">
        <f>G33/L33*100</f>
        <v>0.70964611830814572</v>
      </c>
      <c r="J33">
        <f>G33/H33*100</f>
        <v>0.80701609914769212</v>
      </c>
      <c r="K33" t="s">
        <v>17</v>
      </c>
      <c r="L33">
        <v>138097</v>
      </c>
    </row>
    <row r="34" spans="1:12">
      <c r="A34" t="s">
        <v>36</v>
      </c>
      <c r="B34" s="2">
        <v>51</v>
      </c>
      <c r="C34" s="2">
        <v>8</v>
      </c>
      <c r="D34" t="s">
        <v>21</v>
      </c>
      <c r="E34" t="s">
        <v>22</v>
      </c>
      <c r="F34" t="s">
        <v>23</v>
      </c>
      <c r="G34">
        <v>164</v>
      </c>
      <c r="H34">
        <v>154506</v>
      </c>
      <c r="I34">
        <f>G34/L34*100</f>
        <v>9.0139111030498903E-2</v>
      </c>
      <c r="J34">
        <f>G34/H34*100</f>
        <v>0.10614474518788913</v>
      </c>
      <c r="K34" t="s">
        <v>17</v>
      </c>
      <c r="L34">
        <v>181941</v>
      </c>
    </row>
    <row r="35" spans="1:12">
      <c r="A35" t="s">
        <v>36</v>
      </c>
      <c r="B35" s="2">
        <v>51</v>
      </c>
      <c r="C35" s="2">
        <v>6</v>
      </c>
      <c r="D35" t="s">
        <v>182</v>
      </c>
      <c r="E35" t="s">
        <v>22</v>
      </c>
      <c r="F35" t="s">
        <v>183</v>
      </c>
      <c r="G35">
        <v>180</v>
      </c>
      <c r="H35">
        <v>154506</v>
      </c>
      <c r="I35">
        <f>G35/L35*100</f>
        <v>9.8933170643230497E-2</v>
      </c>
      <c r="J35">
        <f>G35/H35*100</f>
        <v>0.11650033008426858</v>
      </c>
      <c r="K35" t="s">
        <v>17</v>
      </c>
      <c r="L35">
        <v>181941</v>
      </c>
    </row>
    <row r="36" spans="1:12">
      <c r="A36" t="s">
        <v>81</v>
      </c>
      <c r="B36" s="2">
        <v>52</v>
      </c>
      <c r="C36" s="2">
        <v>8</v>
      </c>
      <c r="D36" t="s">
        <v>82</v>
      </c>
      <c r="E36" t="s">
        <v>22</v>
      </c>
      <c r="F36" t="s">
        <v>83</v>
      </c>
      <c r="G36">
        <v>336</v>
      </c>
      <c r="H36">
        <v>278869</v>
      </c>
      <c r="I36">
        <f>G36/L36*100</f>
        <v>9.3949748069276751E-2</v>
      </c>
      <c r="J36">
        <f>G36/H36*100</f>
        <v>0.12048668012579382</v>
      </c>
      <c r="K36" t="s">
        <v>17</v>
      </c>
      <c r="L36">
        <v>357638</v>
      </c>
    </row>
    <row r="37" spans="1:12">
      <c r="A37" t="s">
        <v>81</v>
      </c>
      <c r="B37" s="2">
        <v>52</v>
      </c>
      <c r="C37" s="2">
        <v>4</v>
      </c>
      <c r="D37" t="s">
        <v>86</v>
      </c>
      <c r="E37" t="s">
        <v>87</v>
      </c>
      <c r="F37" t="s">
        <v>88</v>
      </c>
      <c r="G37">
        <v>1944</v>
      </c>
      <c r="H37">
        <v>278869</v>
      </c>
      <c r="I37">
        <f>G37/L37*100</f>
        <v>0.54356639954367258</v>
      </c>
      <c r="J37">
        <f>G37/H37*100</f>
        <v>0.6971015064420929</v>
      </c>
      <c r="K37" t="s">
        <v>17</v>
      </c>
      <c r="L37">
        <v>357638</v>
      </c>
    </row>
    <row r="38" spans="1:12">
      <c r="A38" t="s">
        <v>81</v>
      </c>
      <c r="B38" s="2">
        <v>52</v>
      </c>
      <c r="C38" s="2">
        <v>10</v>
      </c>
      <c r="D38" t="s">
        <v>163</v>
      </c>
      <c r="E38" t="s">
        <v>22</v>
      </c>
      <c r="F38" t="s">
        <v>164</v>
      </c>
      <c r="G38">
        <v>485</v>
      </c>
      <c r="H38">
        <v>278869</v>
      </c>
      <c r="I38">
        <f>G38/L38*100</f>
        <v>0.13561198754047391</v>
      </c>
      <c r="J38">
        <f>G38/H38*100</f>
        <v>0.17391678530062502</v>
      </c>
      <c r="K38" t="s">
        <v>17</v>
      </c>
      <c r="L38">
        <v>357638</v>
      </c>
    </row>
    <row r="39" spans="1:12">
      <c r="A39" t="s">
        <v>84</v>
      </c>
      <c r="B39" s="2">
        <v>53</v>
      </c>
      <c r="C39" s="2">
        <v>7</v>
      </c>
      <c r="D39" t="s">
        <v>82</v>
      </c>
      <c r="E39" t="s">
        <v>22</v>
      </c>
      <c r="F39" t="s">
        <v>83</v>
      </c>
      <c r="G39">
        <v>129</v>
      </c>
      <c r="H39">
        <v>162579</v>
      </c>
      <c r="I39">
        <f>G39/L39*100</f>
        <v>5.9578516633490522E-2</v>
      </c>
      <c r="J39">
        <f>G39/H39*100</f>
        <v>7.9346041001605375E-2</v>
      </c>
      <c r="K39" t="s">
        <v>17</v>
      </c>
      <c r="L39">
        <v>216521</v>
      </c>
    </row>
    <row r="40" spans="1:12">
      <c r="A40" t="s">
        <v>84</v>
      </c>
      <c r="B40" s="2">
        <v>53</v>
      </c>
      <c r="C40" s="2">
        <v>1</v>
      </c>
      <c r="D40" t="s">
        <v>95</v>
      </c>
      <c r="E40" t="s">
        <v>87</v>
      </c>
      <c r="F40" t="s">
        <v>91</v>
      </c>
      <c r="G40">
        <v>30965</v>
      </c>
      <c r="H40">
        <v>162579</v>
      </c>
      <c r="I40">
        <f>G40/L40*100</f>
        <v>14.30115323686848</v>
      </c>
      <c r="J40">
        <f>G40/H40*100</f>
        <v>19.046125268331089</v>
      </c>
      <c r="K40" t="s">
        <v>26</v>
      </c>
      <c r="L40">
        <v>216521</v>
      </c>
    </row>
    <row r="41" spans="1:12">
      <c r="A41" t="s">
        <v>96</v>
      </c>
      <c r="B41" s="2">
        <v>54</v>
      </c>
      <c r="C41" s="2">
        <v>1</v>
      </c>
      <c r="D41" t="s">
        <v>97</v>
      </c>
      <c r="E41" t="s">
        <v>87</v>
      </c>
      <c r="F41" t="s">
        <v>91</v>
      </c>
      <c r="G41">
        <v>42274</v>
      </c>
      <c r="H41">
        <v>206325</v>
      </c>
      <c r="I41">
        <f>G41/L41*100</f>
        <v>16.617726256038932</v>
      </c>
      <c r="J41">
        <f>G41/H41*100</f>
        <v>20.489034290561008</v>
      </c>
      <c r="K41" t="s">
        <v>26</v>
      </c>
      <c r="L41">
        <v>254391</v>
      </c>
    </row>
    <row r="42" spans="1:12">
      <c r="A42" t="s">
        <v>20</v>
      </c>
      <c r="B42" s="2">
        <v>55</v>
      </c>
      <c r="C42" s="2">
        <v>8</v>
      </c>
      <c r="D42" t="s">
        <v>21</v>
      </c>
      <c r="E42" t="s">
        <v>22</v>
      </c>
      <c r="F42" t="s">
        <v>23</v>
      </c>
      <c r="G42">
        <v>301</v>
      </c>
      <c r="H42">
        <v>135168</v>
      </c>
      <c r="I42">
        <f>G42/L42*100</f>
        <v>0.19479048697621745</v>
      </c>
      <c r="J42">
        <f>G42/H42*100</f>
        <v>0.2226858428030303</v>
      </c>
      <c r="K42" t="s">
        <v>17</v>
      </c>
      <c r="L42">
        <v>154525</v>
      </c>
    </row>
    <row r="43" spans="1:12">
      <c r="A43" t="s">
        <v>20</v>
      </c>
      <c r="B43" s="2">
        <v>55</v>
      </c>
      <c r="C43" s="2">
        <v>13</v>
      </c>
      <c r="D43" t="s">
        <v>61</v>
      </c>
      <c r="E43" t="s">
        <v>15</v>
      </c>
      <c r="F43" t="s">
        <v>16</v>
      </c>
      <c r="G43">
        <v>501</v>
      </c>
      <c r="H43">
        <v>135168</v>
      </c>
      <c r="I43">
        <f>G43/L43*100</f>
        <v>0.32421938197702638</v>
      </c>
      <c r="J43">
        <f>G43/H43*100</f>
        <v>0.37064985795454547</v>
      </c>
      <c r="K43" t="s">
        <v>17</v>
      </c>
      <c r="L43">
        <v>154525</v>
      </c>
    </row>
    <row r="44" spans="1:12">
      <c r="A44" t="s">
        <v>20</v>
      </c>
      <c r="B44" s="2">
        <v>55</v>
      </c>
      <c r="C44" s="2">
        <v>4</v>
      </c>
      <c r="D44" t="s">
        <v>137</v>
      </c>
      <c r="E44" t="s">
        <v>87</v>
      </c>
      <c r="F44" t="s">
        <v>134</v>
      </c>
      <c r="G44">
        <v>55096</v>
      </c>
      <c r="H44">
        <v>135168</v>
      </c>
      <c r="I44">
        <f>G44/L44*100</f>
        <v>35.655071994822848</v>
      </c>
      <c r="J44">
        <f>G44/H44*100</f>
        <v>40.761126893939391</v>
      </c>
      <c r="K44" t="s">
        <v>73</v>
      </c>
      <c r="L44">
        <v>154525</v>
      </c>
    </row>
    <row r="45" spans="1:12">
      <c r="A45" t="s">
        <v>76</v>
      </c>
      <c r="B45" s="2">
        <v>56</v>
      </c>
      <c r="C45" s="2">
        <v>3</v>
      </c>
      <c r="D45" t="s">
        <v>77</v>
      </c>
      <c r="E45" t="s">
        <v>22</v>
      </c>
      <c r="F45" t="s">
        <v>78</v>
      </c>
      <c r="G45">
        <v>1840</v>
      </c>
      <c r="H45">
        <v>135470</v>
      </c>
      <c r="I45">
        <f>G45/L45*100</f>
        <v>1.1641959139254281</v>
      </c>
      <c r="J45">
        <f>G45/H45*100</f>
        <v>1.3582342954159592</v>
      </c>
      <c r="K45" t="s">
        <v>17</v>
      </c>
      <c r="L45">
        <v>158049</v>
      </c>
    </row>
    <row r="46" spans="1:12">
      <c r="A46" t="s">
        <v>45</v>
      </c>
      <c r="B46" s="2">
        <v>59</v>
      </c>
      <c r="C46" s="2">
        <v>10</v>
      </c>
      <c r="D46" t="s">
        <v>46</v>
      </c>
      <c r="E46" t="s">
        <v>15</v>
      </c>
      <c r="F46" t="s">
        <v>16</v>
      </c>
      <c r="G46">
        <v>3028</v>
      </c>
      <c r="H46">
        <v>157535</v>
      </c>
      <c r="I46">
        <f>G46/L46*100</f>
        <v>1.6709064722793967</v>
      </c>
      <c r="J46">
        <f>G46/H46*100</f>
        <v>1.9221125464182562</v>
      </c>
      <c r="K46" t="s">
        <v>17</v>
      </c>
      <c r="L46">
        <v>181219</v>
      </c>
    </row>
    <row r="47" spans="1:12">
      <c r="A47" t="s">
        <v>152</v>
      </c>
      <c r="B47" s="2">
        <v>60</v>
      </c>
      <c r="C47" s="2">
        <v>11</v>
      </c>
      <c r="D47" t="s">
        <v>153</v>
      </c>
      <c r="E47" t="s">
        <v>15</v>
      </c>
      <c r="F47" t="s">
        <v>16</v>
      </c>
      <c r="G47">
        <v>475</v>
      </c>
      <c r="H47">
        <v>146803</v>
      </c>
      <c r="I47">
        <f>G47/L47*100</f>
        <v>0.28756159872141029</v>
      </c>
      <c r="J47">
        <f>G47/H47*100</f>
        <v>0.32356286996859734</v>
      </c>
      <c r="K47" t="s">
        <v>17</v>
      </c>
      <c r="L47">
        <v>165182</v>
      </c>
    </row>
    <row r="48" spans="1:12">
      <c r="A48" t="s">
        <v>24</v>
      </c>
      <c r="B48" s="2">
        <v>62</v>
      </c>
      <c r="C48" s="2">
        <v>5</v>
      </c>
      <c r="D48" t="s">
        <v>25</v>
      </c>
      <c r="E48" t="s">
        <v>15</v>
      </c>
      <c r="F48" t="s">
        <v>16</v>
      </c>
      <c r="G48">
        <v>35493</v>
      </c>
      <c r="H48">
        <v>119486</v>
      </c>
      <c r="I48">
        <f>G48/L48*100</f>
        <v>24.369528648425966</v>
      </c>
      <c r="J48">
        <f>G48/H48*100</f>
        <v>29.704735282794637</v>
      </c>
      <c r="K48" t="s">
        <v>26</v>
      </c>
      <c r="L48">
        <v>145645</v>
      </c>
    </row>
    <row r="49" spans="1:12">
      <c r="A49" t="s">
        <v>27</v>
      </c>
      <c r="B49" s="2">
        <v>64</v>
      </c>
      <c r="C49" s="2">
        <v>3</v>
      </c>
      <c r="D49" t="s">
        <v>28</v>
      </c>
      <c r="E49" t="s">
        <v>22</v>
      </c>
      <c r="F49" t="s">
        <v>29</v>
      </c>
      <c r="G49">
        <v>1364</v>
      </c>
      <c r="H49">
        <v>107613</v>
      </c>
      <c r="I49">
        <f>G49/L49*100</f>
        <v>1.0305617468172716</v>
      </c>
      <c r="J49">
        <f>G49/H49*100</f>
        <v>1.2675048553613411</v>
      </c>
      <c r="K49" t="s">
        <v>17</v>
      </c>
      <c r="L49">
        <v>132355</v>
      </c>
    </row>
    <row r="50" spans="1:12">
      <c r="A50" t="s">
        <v>27</v>
      </c>
      <c r="B50" s="2">
        <v>64</v>
      </c>
      <c r="C50" s="2">
        <v>1</v>
      </c>
      <c r="D50" t="s">
        <v>167</v>
      </c>
      <c r="E50" t="s">
        <v>71</v>
      </c>
      <c r="F50" t="s">
        <v>166</v>
      </c>
      <c r="G50">
        <v>38668</v>
      </c>
      <c r="H50">
        <v>107613</v>
      </c>
      <c r="I50">
        <f>G50/L50*100</f>
        <v>29.215367760945941</v>
      </c>
      <c r="J50">
        <f>G50/H50*100</f>
        <v>35.932461691431335</v>
      </c>
      <c r="K50" t="s">
        <v>73</v>
      </c>
      <c r="L50">
        <v>132355</v>
      </c>
    </row>
    <row r="51" spans="1:12">
      <c r="A51" t="s">
        <v>30</v>
      </c>
      <c r="B51" s="2">
        <v>66</v>
      </c>
      <c r="C51" s="2">
        <v>6</v>
      </c>
      <c r="D51" t="s">
        <v>31</v>
      </c>
      <c r="E51" t="s">
        <v>22</v>
      </c>
      <c r="F51" t="s">
        <v>29</v>
      </c>
      <c r="G51">
        <v>242</v>
      </c>
      <c r="H51">
        <v>136755</v>
      </c>
      <c r="I51">
        <f>G51/L51*100</f>
        <v>0.15264190335622962</v>
      </c>
      <c r="J51">
        <f>G51/H51*100</f>
        <v>0.17695879492523126</v>
      </c>
      <c r="K51" t="s">
        <v>17</v>
      </c>
      <c r="L51">
        <v>158541</v>
      </c>
    </row>
    <row r="52" spans="1:12">
      <c r="A52" t="s">
        <v>32</v>
      </c>
      <c r="B52" s="2">
        <v>69</v>
      </c>
      <c r="C52" s="2">
        <v>3</v>
      </c>
      <c r="D52" t="s">
        <v>33</v>
      </c>
      <c r="E52" t="s">
        <v>15</v>
      </c>
      <c r="F52" t="s">
        <v>16</v>
      </c>
      <c r="G52">
        <v>20663</v>
      </c>
      <c r="H52">
        <v>109995</v>
      </c>
      <c r="I52">
        <f>G52/L52*100</f>
        <v>15.421645383507354</v>
      </c>
      <c r="J52">
        <f>G52/H52*100</f>
        <v>18.785399336333469</v>
      </c>
      <c r="K52" t="s">
        <v>26</v>
      </c>
      <c r="L52">
        <v>133987</v>
      </c>
    </row>
    <row r="53" spans="1:12">
      <c r="A53" t="s">
        <v>18</v>
      </c>
      <c r="B53" s="2">
        <v>70</v>
      </c>
      <c r="C53" s="2">
        <v>11</v>
      </c>
      <c r="D53" t="s">
        <v>19</v>
      </c>
      <c r="E53" t="s">
        <v>15</v>
      </c>
      <c r="F53" t="s">
        <v>16</v>
      </c>
      <c r="G53">
        <v>2841</v>
      </c>
      <c r="H53">
        <v>112032</v>
      </c>
      <c r="I53">
        <f>G53/L53*100</f>
        <v>2.1415326167252111</v>
      </c>
      <c r="J53">
        <f>G53/H53*100</f>
        <v>2.5358826049700087</v>
      </c>
      <c r="K53" t="s">
        <v>17</v>
      </c>
      <c r="L53">
        <v>132662</v>
      </c>
    </row>
    <row r="54" spans="1:12">
      <c r="A54" t="s">
        <v>129</v>
      </c>
      <c r="B54" s="2">
        <v>72</v>
      </c>
      <c r="C54" s="2">
        <v>3</v>
      </c>
      <c r="D54" t="s">
        <v>130</v>
      </c>
      <c r="E54" t="s">
        <v>71</v>
      </c>
      <c r="F54" t="s">
        <v>124</v>
      </c>
      <c r="G54">
        <v>23821</v>
      </c>
      <c r="H54">
        <v>119804</v>
      </c>
      <c r="I54">
        <f>G54/L54*100</f>
        <v>16.516897560705026</v>
      </c>
      <c r="J54">
        <f>G54/H54*100</f>
        <v>19.883309405362091</v>
      </c>
      <c r="K54" t="s">
        <v>26</v>
      </c>
      <c r="L54">
        <v>144222</v>
      </c>
    </row>
    <row r="55" spans="1:12">
      <c r="A55" t="s">
        <v>157</v>
      </c>
      <c r="B55" s="2">
        <v>74</v>
      </c>
      <c r="C55" s="2">
        <v>6</v>
      </c>
      <c r="D55" t="s">
        <v>158</v>
      </c>
      <c r="E55" t="s">
        <v>15</v>
      </c>
      <c r="F55" t="s">
        <v>16</v>
      </c>
      <c r="G55">
        <v>490</v>
      </c>
      <c r="H55">
        <v>117485</v>
      </c>
      <c r="I55">
        <f>G55/L55*100</f>
        <v>0.3576668442835349</v>
      </c>
      <c r="J55">
        <f>G55/H55*100</f>
        <v>0.4170745201515087</v>
      </c>
      <c r="K55" t="s">
        <v>17</v>
      </c>
      <c r="L55">
        <v>136999</v>
      </c>
    </row>
    <row r="56" spans="1:12">
      <c r="A56" t="s">
        <v>51</v>
      </c>
      <c r="B56" s="2">
        <v>75</v>
      </c>
      <c r="C56" s="2">
        <v>5</v>
      </c>
      <c r="D56" t="s">
        <v>52</v>
      </c>
      <c r="E56" t="s">
        <v>15</v>
      </c>
      <c r="F56" t="s">
        <v>16</v>
      </c>
      <c r="G56">
        <v>2484</v>
      </c>
      <c r="H56">
        <v>131702</v>
      </c>
      <c r="I56">
        <f>G56/L56*100</f>
        <v>1.5556209645601489</v>
      </c>
      <c r="J56">
        <f>G56/H56*100</f>
        <v>1.8860761415923828</v>
      </c>
      <c r="K56" t="s">
        <v>17</v>
      </c>
      <c r="L56">
        <v>159679</v>
      </c>
    </row>
    <row r="57" spans="1:12">
      <c r="A57" t="s">
        <v>98</v>
      </c>
      <c r="B57" s="2">
        <v>78</v>
      </c>
      <c r="C57" s="2">
        <v>2</v>
      </c>
      <c r="D57" t="s">
        <v>99</v>
      </c>
      <c r="E57" t="s">
        <v>87</v>
      </c>
      <c r="F57" t="s">
        <v>91</v>
      </c>
      <c r="G57">
        <v>56489</v>
      </c>
      <c r="H57">
        <v>146618</v>
      </c>
      <c r="I57">
        <f>G57/L57*100</f>
        <v>32.979729571939004</v>
      </c>
      <c r="J57">
        <f>G57/H57*100</f>
        <v>38.528011567474664</v>
      </c>
      <c r="K57" t="s">
        <v>26</v>
      </c>
      <c r="L57">
        <v>171284</v>
      </c>
    </row>
    <row r="58" spans="1:12">
      <c r="A58" t="s">
        <v>53</v>
      </c>
      <c r="B58" s="2">
        <v>79</v>
      </c>
      <c r="C58" s="2">
        <v>7</v>
      </c>
      <c r="D58" t="s">
        <v>54</v>
      </c>
      <c r="E58" t="s">
        <v>15</v>
      </c>
      <c r="F58" t="s">
        <v>16</v>
      </c>
      <c r="G58">
        <v>523</v>
      </c>
      <c r="H58">
        <v>171965</v>
      </c>
      <c r="I58">
        <f>G58/L58*100</f>
        <v>0.25936928135367954</v>
      </c>
      <c r="J58">
        <f>G58/H58*100</f>
        <v>0.30413165469717673</v>
      </c>
      <c r="K58" t="s">
        <v>17</v>
      </c>
      <c r="L58">
        <v>201643</v>
      </c>
    </row>
    <row r="59" spans="1:12">
      <c r="A59" t="s">
        <v>110</v>
      </c>
      <c r="B59" s="2">
        <v>80</v>
      </c>
      <c r="C59" s="2">
        <v>1</v>
      </c>
      <c r="D59" t="s">
        <v>111</v>
      </c>
      <c r="E59" t="s">
        <v>87</v>
      </c>
      <c r="F59" t="s">
        <v>91</v>
      </c>
      <c r="G59">
        <v>51046</v>
      </c>
      <c r="H59">
        <v>141292</v>
      </c>
      <c r="I59">
        <f>G59/L59*100</f>
        <v>30.65770586716155</v>
      </c>
      <c r="J59">
        <f>G59/H59*100</f>
        <v>36.128018571469021</v>
      </c>
      <c r="K59" t="s">
        <v>26</v>
      </c>
      <c r="L59">
        <v>166503</v>
      </c>
    </row>
    <row r="60" spans="1:12">
      <c r="A60" t="s">
        <v>110</v>
      </c>
      <c r="B60" s="2">
        <v>80</v>
      </c>
      <c r="C60" s="2">
        <v>4</v>
      </c>
      <c r="D60" t="s">
        <v>161</v>
      </c>
      <c r="E60" t="s">
        <v>15</v>
      </c>
      <c r="F60" t="s">
        <v>16</v>
      </c>
      <c r="G60">
        <v>920</v>
      </c>
      <c r="H60">
        <v>141292</v>
      </c>
      <c r="I60">
        <f>G60/L60*100</f>
        <v>0.55254259683008711</v>
      </c>
      <c r="J60">
        <f>G60/H60*100</f>
        <v>0.65113382215553606</v>
      </c>
      <c r="K60" t="s">
        <v>17</v>
      </c>
      <c r="L60">
        <v>166503</v>
      </c>
    </row>
    <row r="61" spans="1:12">
      <c r="A61" t="s">
        <v>138</v>
      </c>
      <c r="B61" s="2">
        <v>84</v>
      </c>
      <c r="C61" s="2">
        <v>1</v>
      </c>
      <c r="D61" t="s">
        <v>139</v>
      </c>
      <c r="E61" t="s">
        <v>87</v>
      </c>
      <c r="F61" t="s">
        <v>134</v>
      </c>
      <c r="G61">
        <v>46343</v>
      </c>
      <c r="H61">
        <v>123226</v>
      </c>
      <c r="I61">
        <f>G61/L61*100</f>
        <v>33.035128738844058</v>
      </c>
      <c r="J61">
        <f>G61/H61*100</f>
        <v>37.60813464690893</v>
      </c>
      <c r="K61" t="s">
        <v>73</v>
      </c>
      <c r="L61">
        <v>140284</v>
      </c>
    </row>
    <row r="62" spans="1:12">
      <c r="A62" t="s">
        <v>138</v>
      </c>
      <c r="B62" s="2">
        <v>84</v>
      </c>
      <c r="C62" s="2">
        <v>8</v>
      </c>
      <c r="D62" t="s">
        <v>162</v>
      </c>
      <c r="E62" t="s">
        <v>15</v>
      </c>
      <c r="F62" t="s">
        <v>16</v>
      </c>
      <c r="G62">
        <v>830</v>
      </c>
      <c r="H62">
        <v>123226</v>
      </c>
      <c r="I62">
        <f>G62/L62*100</f>
        <v>0.591656924524536</v>
      </c>
      <c r="J62">
        <f>G62/H62*100</f>
        <v>0.67355915147777257</v>
      </c>
      <c r="K62" t="s">
        <v>17</v>
      </c>
      <c r="L62">
        <v>140284</v>
      </c>
    </row>
    <row r="63" spans="1:12">
      <c r="A63" t="s">
        <v>55</v>
      </c>
      <c r="B63" s="2">
        <v>86</v>
      </c>
      <c r="C63" s="2">
        <v>8</v>
      </c>
      <c r="D63" t="s">
        <v>56</v>
      </c>
      <c r="E63" t="s">
        <v>15</v>
      </c>
      <c r="F63" t="s">
        <v>16</v>
      </c>
      <c r="G63">
        <v>376</v>
      </c>
      <c r="H63">
        <v>140655</v>
      </c>
      <c r="I63">
        <f>G63/L63*100</f>
        <v>0.22542507014556701</v>
      </c>
      <c r="J63">
        <f>G63/H63*100</f>
        <v>0.2673207493512495</v>
      </c>
      <c r="K63" t="s">
        <v>17</v>
      </c>
      <c r="L63">
        <v>166796</v>
      </c>
    </row>
    <row r="64" spans="1:12">
      <c r="A64" t="s">
        <v>55</v>
      </c>
      <c r="B64" s="2">
        <v>86</v>
      </c>
      <c r="C64" s="2">
        <v>7</v>
      </c>
      <c r="D64" t="s">
        <v>190</v>
      </c>
      <c r="E64" t="s">
        <v>15</v>
      </c>
      <c r="F64" t="s">
        <v>16</v>
      </c>
      <c r="G64">
        <v>322</v>
      </c>
      <c r="H64">
        <v>140655</v>
      </c>
      <c r="I64">
        <f>G64/L64*100</f>
        <v>0.19305019305019305</v>
      </c>
      <c r="J64">
        <f>G64/H64*100</f>
        <v>0.2289289396039956</v>
      </c>
      <c r="K64" t="s">
        <v>17</v>
      </c>
      <c r="L64">
        <v>166796</v>
      </c>
    </row>
    <row r="65" spans="1:12">
      <c r="A65" t="s">
        <v>184</v>
      </c>
      <c r="B65" s="2">
        <v>87</v>
      </c>
      <c r="C65" s="2">
        <v>5</v>
      </c>
      <c r="D65" t="s">
        <v>185</v>
      </c>
      <c r="E65" t="s">
        <v>22</v>
      </c>
      <c r="F65" t="s">
        <v>83</v>
      </c>
      <c r="G65">
        <v>754</v>
      </c>
      <c r="H65">
        <v>135790</v>
      </c>
      <c r="I65">
        <f>G65/L65*100</f>
        <v>0.46537751745165695</v>
      </c>
      <c r="J65">
        <f>G65/H65*100</f>
        <v>0.55526916562338902</v>
      </c>
      <c r="K65" t="s">
        <v>17</v>
      </c>
      <c r="L65">
        <v>162019</v>
      </c>
    </row>
    <row r="66" spans="1:12">
      <c r="A66" t="s">
        <v>57</v>
      </c>
      <c r="B66" s="2">
        <v>90</v>
      </c>
      <c r="C66" s="2">
        <v>14</v>
      </c>
      <c r="D66" t="s">
        <v>58</v>
      </c>
      <c r="E66" t="s">
        <v>15</v>
      </c>
      <c r="F66" t="s">
        <v>16</v>
      </c>
      <c r="G66">
        <v>653</v>
      </c>
      <c r="H66">
        <v>154087</v>
      </c>
      <c r="I66">
        <f>G66/L66*100</f>
        <v>0.35705693226307383</v>
      </c>
      <c r="J66">
        <f>G66/H66*100</f>
        <v>0.42378656213697458</v>
      </c>
      <c r="K66" t="s">
        <v>17</v>
      </c>
      <c r="L66">
        <v>182884</v>
      </c>
    </row>
    <row r="67" spans="1:12">
      <c r="A67" t="s">
        <v>57</v>
      </c>
      <c r="B67" s="2">
        <v>90</v>
      </c>
      <c r="C67" s="2">
        <v>5</v>
      </c>
      <c r="D67" t="s">
        <v>143</v>
      </c>
      <c r="E67" t="s">
        <v>22</v>
      </c>
      <c r="F67" t="s">
        <v>144</v>
      </c>
      <c r="G67">
        <v>309</v>
      </c>
      <c r="H67">
        <v>154087</v>
      </c>
      <c r="I67">
        <f>G67/L67*100</f>
        <v>0.16895955906476237</v>
      </c>
      <c r="J67">
        <f>G67/H67*100</f>
        <v>0.20053606079682257</v>
      </c>
      <c r="K67" t="s">
        <v>17</v>
      </c>
      <c r="L67">
        <v>182884</v>
      </c>
    </row>
    <row r="68" spans="1:12">
      <c r="A68" t="s">
        <v>145</v>
      </c>
      <c r="B68" s="2">
        <v>93</v>
      </c>
      <c r="C68" s="2">
        <v>3</v>
      </c>
      <c r="D68" t="s">
        <v>146</v>
      </c>
      <c r="E68" t="s">
        <v>15</v>
      </c>
      <c r="F68" t="s">
        <v>16</v>
      </c>
      <c r="G68">
        <v>11872</v>
      </c>
      <c r="H68">
        <v>105454</v>
      </c>
      <c r="I68">
        <f>G68/L68*100</f>
        <v>9.6348777380111823</v>
      </c>
      <c r="J68">
        <f>G68/H68*100</f>
        <v>11.257989265461719</v>
      </c>
      <c r="K68" t="s">
        <v>17</v>
      </c>
      <c r="L68">
        <v>123219</v>
      </c>
    </row>
    <row r="69" spans="1:12">
      <c r="A69" t="s">
        <v>112</v>
      </c>
      <c r="B69" s="2">
        <v>94</v>
      </c>
      <c r="C69" s="2">
        <v>2</v>
      </c>
      <c r="D69" t="s">
        <v>113</v>
      </c>
      <c r="E69" t="s">
        <v>87</v>
      </c>
      <c r="F69" t="s">
        <v>91</v>
      </c>
      <c r="G69">
        <v>67150</v>
      </c>
      <c r="H69">
        <v>186263</v>
      </c>
      <c r="I69">
        <f>G69/L69*100</f>
        <v>29.628485704200497</v>
      </c>
      <c r="J69">
        <f>G69/H69*100</f>
        <v>36.051174951547004</v>
      </c>
      <c r="K69" t="s">
        <v>73</v>
      </c>
      <c r="L69">
        <v>226640</v>
      </c>
    </row>
    <row r="70" spans="1:12">
      <c r="A70" t="s">
        <v>114</v>
      </c>
      <c r="B70" s="2">
        <v>95</v>
      </c>
      <c r="C70" s="2">
        <v>1</v>
      </c>
      <c r="D70" t="s">
        <v>115</v>
      </c>
      <c r="E70" t="s">
        <v>87</v>
      </c>
      <c r="F70" t="s">
        <v>91</v>
      </c>
      <c r="G70">
        <v>73862</v>
      </c>
      <c r="H70">
        <v>147225</v>
      </c>
      <c r="I70">
        <f>G70/L70*100</f>
        <v>42.089487600291761</v>
      </c>
      <c r="J70">
        <f>G70/H70*100</f>
        <v>50.169468500594327</v>
      </c>
      <c r="K70" t="s">
        <v>73</v>
      </c>
      <c r="L70">
        <v>175488</v>
      </c>
    </row>
    <row r="71" spans="1:12">
      <c r="A71" t="s">
        <v>116</v>
      </c>
      <c r="B71" s="2">
        <v>96</v>
      </c>
      <c r="C71" s="2">
        <v>2</v>
      </c>
      <c r="D71" t="s">
        <v>117</v>
      </c>
      <c r="E71" t="s">
        <v>87</v>
      </c>
      <c r="F71" t="s">
        <v>91</v>
      </c>
      <c r="G71">
        <v>40763</v>
      </c>
      <c r="H71">
        <v>104267</v>
      </c>
      <c r="I71">
        <f>G71/L71*100</f>
        <v>33.78671838737484</v>
      </c>
      <c r="J71">
        <f>G71/H71*100</f>
        <v>39.094823865652607</v>
      </c>
      <c r="K71" t="s">
        <v>26</v>
      </c>
      <c r="L71">
        <v>120648</v>
      </c>
    </row>
    <row r="72" spans="1:12">
      <c r="A72" t="s">
        <v>118</v>
      </c>
      <c r="B72" s="2">
        <v>97</v>
      </c>
      <c r="C72" s="2">
        <v>2</v>
      </c>
      <c r="D72" t="s">
        <v>119</v>
      </c>
      <c r="E72" t="s">
        <v>87</v>
      </c>
      <c r="F72" t="s">
        <v>91</v>
      </c>
      <c r="G72">
        <v>46807</v>
      </c>
      <c r="H72">
        <v>120611</v>
      </c>
      <c r="I72">
        <f>G72/L72*100</f>
        <v>31.900740831612453</v>
      </c>
      <c r="J72">
        <f>G72/H72*100</f>
        <v>38.808234738125044</v>
      </c>
      <c r="K72" t="s">
        <v>26</v>
      </c>
      <c r="L72">
        <v>146727</v>
      </c>
    </row>
    <row r="73" spans="1:12">
      <c r="A73" t="s">
        <v>118</v>
      </c>
      <c r="B73" s="2">
        <v>97</v>
      </c>
      <c r="C73" s="2">
        <v>5</v>
      </c>
      <c r="D73" t="s">
        <v>177</v>
      </c>
      <c r="E73" t="s">
        <v>15</v>
      </c>
      <c r="F73" t="s">
        <v>16</v>
      </c>
      <c r="G73">
        <v>3622</v>
      </c>
      <c r="H73">
        <v>120611</v>
      </c>
      <c r="I73">
        <f>G73/L73*100</f>
        <v>2.4685299910718546</v>
      </c>
      <c r="J73">
        <f>G73/H73*100</f>
        <v>3.0030428402052882</v>
      </c>
      <c r="K73" t="s">
        <v>17</v>
      </c>
      <c r="L73">
        <v>146727</v>
      </c>
    </row>
    <row r="74" spans="1:12">
      <c r="A74" t="s">
        <v>47</v>
      </c>
      <c r="B74" s="2">
        <v>100</v>
      </c>
      <c r="C74" s="2">
        <v>6</v>
      </c>
      <c r="D74" t="s">
        <v>48</v>
      </c>
      <c r="E74" t="s">
        <v>15</v>
      </c>
      <c r="F74" t="s">
        <v>16</v>
      </c>
      <c r="G74">
        <v>715</v>
      </c>
      <c r="H74">
        <v>113504</v>
      </c>
      <c r="I74">
        <f>G74/L74*100</f>
        <v>0.52485924229411207</v>
      </c>
      <c r="J74">
        <f>G74/H74*100</f>
        <v>0.62993374682830561</v>
      </c>
      <c r="K74" t="s">
        <v>17</v>
      </c>
      <c r="L74">
        <v>136227</v>
      </c>
    </row>
    <row r="75" spans="1:12">
      <c r="A75" t="s">
        <v>13</v>
      </c>
      <c r="B75" s="2">
        <v>102</v>
      </c>
      <c r="C75" s="2">
        <v>5</v>
      </c>
      <c r="D75" t="s">
        <v>14</v>
      </c>
      <c r="E75" t="s">
        <v>15</v>
      </c>
      <c r="F75" t="s">
        <v>16</v>
      </c>
      <c r="G75">
        <v>811</v>
      </c>
      <c r="H75">
        <v>95446</v>
      </c>
      <c r="I75">
        <f>G75/L75*100</f>
        <v>0.68162143535522479</v>
      </c>
      <c r="J75">
        <f>G75/H75*100</f>
        <v>0.84969511556272659</v>
      </c>
      <c r="K75" t="s">
        <v>17</v>
      </c>
      <c r="L75">
        <v>118981</v>
      </c>
    </row>
    <row r="76" spans="1:12">
      <c r="A76" t="s">
        <v>13</v>
      </c>
      <c r="B76" s="2">
        <v>102</v>
      </c>
      <c r="C76" s="2">
        <v>2</v>
      </c>
      <c r="D76" t="s">
        <v>70</v>
      </c>
      <c r="E76" t="s">
        <v>71</v>
      </c>
      <c r="F76" t="s">
        <v>72</v>
      </c>
      <c r="G76">
        <v>40928</v>
      </c>
      <c r="H76">
        <v>95446</v>
      </c>
      <c r="I76">
        <f>G76/L76*100</f>
        <v>34.398769551440992</v>
      </c>
      <c r="J76">
        <f>G76/H76*100</f>
        <v>42.880791232738929</v>
      </c>
      <c r="K76" t="s">
        <v>73</v>
      </c>
      <c r="L76">
        <v>118981</v>
      </c>
    </row>
    <row r="77" spans="1:12">
      <c r="A77" t="s">
        <v>13</v>
      </c>
      <c r="B77" s="2">
        <v>102</v>
      </c>
      <c r="C77" s="2">
        <v>1</v>
      </c>
      <c r="D77" t="s">
        <v>120</v>
      </c>
      <c r="E77" t="s">
        <v>87</v>
      </c>
      <c r="F77" t="s">
        <v>91</v>
      </c>
      <c r="G77">
        <v>35879</v>
      </c>
      <c r="H77">
        <v>95446</v>
      </c>
      <c r="I77">
        <f>G77/L77*100</f>
        <v>30.155234869432935</v>
      </c>
      <c r="J77">
        <f>G77/H77*100</f>
        <v>37.590889089118456</v>
      </c>
      <c r="K77" t="s">
        <v>26</v>
      </c>
      <c r="L77">
        <v>118981</v>
      </c>
    </row>
    <row r="78" spans="1:12">
      <c r="A78" t="s">
        <v>100</v>
      </c>
      <c r="B78" s="2">
        <v>103</v>
      </c>
      <c r="C78" s="2">
        <v>1</v>
      </c>
      <c r="D78" t="s">
        <v>101</v>
      </c>
      <c r="E78" t="s">
        <v>87</v>
      </c>
      <c r="F78" t="s">
        <v>91</v>
      </c>
      <c r="G78">
        <v>40390</v>
      </c>
      <c r="H78">
        <v>96014</v>
      </c>
      <c r="I78">
        <f>G78/L78*100</f>
        <v>35.995330142858414</v>
      </c>
      <c r="J78">
        <f>G78/H78*100</f>
        <v>42.066781927635553</v>
      </c>
      <c r="K78" t="s">
        <v>26</v>
      </c>
      <c r="L78">
        <v>112209</v>
      </c>
    </row>
    <row r="79" spans="1:12">
      <c r="A79" t="s">
        <v>100</v>
      </c>
      <c r="B79" s="2">
        <v>103</v>
      </c>
      <c r="C79" s="2">
        <v>2</v>
      </c>
      <c r="D79" t="s">
        <v>131</v>
      </c>
      <c r="E79" t="s">
        <v>71</v>
      </c>
      <c r="F79" t="s">
        <v>124</v>
      </c>
      <c r="G79">
        <v>873</v>
      </c>
      <c r="H79">
        <v>96014</v>
      </c>
      <c r="I79">
        <f>G79/L79*100</f>
        <v>0.77801245889367165</v>
      </c>
      <c r="J79">
        <f>G79/H79*100</f>
        <v>0.90924240214968655</v>
      </c>
      <c r="K79" t="s">
        <v>17</v>
      </c>
      <c r="L79">
        <v>112209</v>
      </c>
    </row>
    <row r="80" spans="1:12">
      <c r="A80" t="s">
        <v>178</v>
      </c>
      <c r="B80" s="2">
        <v>104</v>
      </c>
      <c r="C80" s="2">
        <v>4</v>
      </c>
      <c r="D80" t="s">
        <v>179</v>
      </c>
      <c r="E80" t="s">
        <v>15</v>
      </c>
      <c r="F80" t="s">
        <v>16</v>
      </c>
      <c r="G80">
        <v>1501</v>
      </c>
      <c r="H80">
        <v>98321</v>
      </c>
      <c r="I80">
        <f>G80/L80*100</f>
        <v>1.2586474361661986</v>
      </c>
      <c r="J80">
        <f>G80/H80*100</f>
        <v>1.526632153863366</v>
      </c>
      <c r="K80" t="s">
        <v>17</v>
      </c>
      <c r="L80">
        <v>119255</v>
      </c>
    </row>
    <row r="81" spans="1:12">
      <c r="A81" t="s">
        <v>43</v>
      </c>
      <c r="B81" s="2">
        <v>105</v>
      </c>
      <c r="C81" s="2">
        <v>10</v>
      </c>
      <c r="D81" t="s">
        <v>44</v>
      </c>
      <c r="E81" t="s">
        <v>15</v>
      </c>
      <c r="F81" t="s">
        <v>16</v>
      </c>
      <c r="G81">
        <v>731</v>
      </c>
      <c r="H81">
        <v>103228</v>
      </c>
      <c r="I81">
        <f>G81/L81*100</f>
        <v>0.60824416301942053</v>
      </c>
      <c r="J81">
        <f>G81/H81*100</f>
        <v>0.70814120199945751</v>
      </c>
      <c r="K81" t="s">
        <v>17</v>
      </c>
      <c r="L81">
        <v>120182</v>
      </c>
    </row>
    <row r="82" spans="1:12">
      <c r="A82" t="s">
        <v>43</v>
      </c>
      <c r="B82" s="2">
        <v>105</v>
      </c>
      <c r="C82" s="2">
        <v>5</v>
      </c>
      <c r="D82" t="s">
        <v>186</v>
      </c>
      <c r="E82" t="s">
        <v>22</v>
      </c>
      <c r="F82" t="s">
        <v>187</v>
      </c>
      <c r="G82">
        <v>744</v>
      </c>
      <c r="H82">
        <v>103228</v>
      </c>
      <c r="I82">
        <f>G82/L82*100</f>
        <v>0.61906109067913673</v>
      </c>
      <c r="J82">
        <f>G82/H82*100</f>
        <v>0.72073468438795674</v>
      </c>
      <c r="K82" t="s">
        <v>17</v>
      </c>
      <c r="L82">
        <v>120182</v>
      </c>
    </row>
    <row r="83" spans="1:12">
      <c r="A83" t="s">
        <v>141</v>
      </c>
      <c r="B83" s="2">
        <v>108</v>
      </c>
      <c r="C83" s="2">
        <v>4</v>
      </c>
      <c r="D83" t="s">
        <v>142</v>
      </c>
      <c r="E83" t="s">
        <v>87</v>
      </c>
      <c r="F83" t="s">
        <v>134</v>
      </c>
      <c r="G83">
        <v>48042</v>
      </c>
      <c r="H83">
        <v>113331</v>
      </c>
      <c r="I83">
        <f>G83/L83*100</f>
        <v>34.713180198992752</v>
      </c>
      <c r="J83">
        <f>G83/H83*100</f>
        <v>42.390872753262563</v>
      </c>
      <c r="K83" t="s">
        <v>26</v>
      </c>
      <c r="L83">
        <v>138397</v>
      </c>
    </row>
    <row r="84" spans="1:12">
      <c r="A84" t="s">
        <v>180</v>
      </c>
      <c r="B84" s="2">
        <v>109</v>
      </c>
      <c r="C84" s="2">
        <v>4</v>
      </c>
      <c r="D84" t="s">
        <v>181</v>
      </c>
      <c r="E84" t="s">
        <v>15</v>
      </c>
      <c r="F84" t="s">
        <v>16</v>
      </c>
      <c r="G84">
        <v>474</v>
      </c>
      <c r="H84">
        <v>109694</v>
      </c>
      <c r="I84">
        <f>G84/L84*100</f>
        <v>0.36000455701970913</v>
      </c>
      <c r="J84">
        <f>G84/H84*100</f>
        <v>0.43211114555034913</v>
      </c>
      <c r="K84" t="s">
        <v>17</v>
      </c>
      <c r="L84">
        <v>131665</v>
      </c>
    </row>
    <row r="85" spans="1:12">
      <c r="A85" t="s">
        <v>154</v>
      </c>
      <c r="B85" s="2">
        <v>110</v>
      </c>
      <c r="C85" s="2">
        <v>6</v>
      </c>
      <c r="D85" t="s">
        <v>155</v>
      </c>
      <c r="E85" t="s">
        <v>15</v>
      </c>
      <c r="F85" t="s">
        <v>16</v>
      </c>
      <c r="G85">
        <v>827</v>
      </c>
      <c r="H85">
        <v>162236</v>
      </c>
      <c r="I85">
        <f>G85/L85*100</f>
        <v>0.44877117011520445</v>
      </c>
      <c r="J85">
        <f>G85/H85*100</f>
        <v>0.50975122660815109</v>
      </c>
      <c r="K85" t="s">
        <v>17</v>
      </c>
      <c r="L85">
        <v>184281</v>
      </c>
    </row>
    <row r="86" spans="1:12">
      <c r="A86" t="s">
        <v>159</v>
      </c>
      <c r="B86" s="2">
        <v>111</v>
      </c>
      <c r="C86" s="2">
        <v>13</v>
      </c>
      <c r="D86" t="s">
        <v>160</v>
      </c>
      <c r="E86" t="s">
        <v>15</v>
      </c>
      <c r="F86" t="s">
        <v>16</v>
      </c>
      <c r="G86">
        <v>1092</v>
      </c>
      <c r="H86">
        <v>135518</v>
      </c>
      <c r="I86">
        <f>G86/L86*100</f>
        <v>0.68172028242697413</v>
      </c>
      <c r="J86">
        <f>G86/H86*100</f>
        <v>0.80579701589456754</v>
      </c>
      <c r="K86" t="s">
        <v>17</v>
      </c>
      <c r="L86">
        <v>160183</v>
      </c>
    </row>
    <row r="87" spans="1:12">
      <c r="A87" t="s">
        <v>34</v>
      </c>
      <c r="B87" s="2">
        <v>112</v>
      </c>
      <c r="C87" s="2">
        <v>4</v>
      </c>
      <c r="D87" t="s">
        <v>35</v>
      </c>
      <c r="E87" t="s">
        <v>22</v>
      </c>
      <c r="F87" t="s">
        <v>29</v>
      </c>
      <c r="G87">
        <v>422</v>
      </c>
      <c r="H87">
        <v>147072</v>
      </c>
      <c r="I87">
        <f>G87/L87*100</f>
        <v>0.24187262139483698</v>
      </c>
      <c r="J87">
        <f>G87/H87*100</f>
        <v>0.28693429068755438</v>
      </c>
      <c r="K87" t="s">
        <v>17</v>
      </c>
      <c r="L87">
        <v>174472</v>
      </c>
    </row>
    <row r="88" spans="1:12">
      <c r="A88" t="s">
        <v>102</v>
      </c>
      <c r="B88" s="2">
        <v>113</v>
      </c>
      <c r="C88" s="2">
        <v>3</v>
      </c>
      <c r="D88" t="s">
        <v>103</v>
      </c>
      <c r="E88" t="s">
        <v>87</v>
      </c>
      <c r="F88" t="s">
        <v>91</v>
      </c>
      <c r="G88">
        <v>50471</v>
      </c>
      <c r="H88">
        <v>170160</v>
      </c>
      <c r="I88">
        <f>G88/L88*100</f>
        <v>23.893067975780756</v>
      </c>
      <c r="J88">
        <f>G88/H88*100</f>
        <v>29.660907381288197</v>
      </c>
      <c r="K88" t="s">
        <v>26</v>
      </c>
      <c r="L88">
        <v>211237</v>
      </c>
    </row>
    <row r="89" spans="1:12">
      <c r="A89" t="s">
        <v>40</v>
      </c>
      <c r="B89" s="2">
        <v>118</v>
      </c>
      <c r="C89" s="2">
        <v>4</v>
      </c>
      <c r="D89" t="s">
        <v>41</v>
      </c>
      <c r="E89" t="s">
        <v>22</v>
      </c>
      <c r="F89" t="s">
        <v>42</v>
      </c>
      <c r="G89">
        <v>542</v>
      </c>
      <c r="H89">
        <v>114313</v>
      </c>
      <c r="I89">
        <f>G89/L89*100</f>
        <v>0.3910844295001768</v>
      </c>
      <c r="J89">
        <f>G89/H89*100</f>
        <v>0.47413679983903839</v>
      </c>
      <c r="K89" t="s">
        <v>17</v>
      </c>
      <c r="L89">
        <v>138589</v>
      </c>
    </row>
    <row r="90" spans="1:12">
      <c r="A90" t="s">
        <v>40</v>
      </c>
      <c r="B90" s="2">
        <v>118</v>
      </c>
      <c r="C90" s="2">
        <v>3</v>
      </c>
      <c r="D90" t="s">
        <v>69</v>
      </c>
      <c r="E90" t="s">
        <v>22</v>
      </c>
      <c r="F90" t="s">
        <v>64</v>
      </c>
      <c r="G90">
        <v>1037</v>
      </c>
      <c r="H90">
        <v>114313</v>
      </c>
      <c r="I90">
        <f>G90/L90*100</f>
        <v>0.74825563356399138</v>
      </c>
      <c r="J90">
        <f>G90/H90*100</f>
        <v>0.90715841592819724</v>
      </c>
      <c r="K90" t="s">
        <v>17</v>
      </c>
      <c r="L90">
        <v>138589</v>
      </c>
    </row>
    <row r="91" spans="1:12">
      <c r="A91" t="s">
        <v>40</v>
      </c>
      <c r="B91" s="2">
        <v>118</v>
      </c>
      <c r="C91" s="2">
        <v>6</v>
      </c>
      <c r="D91" t="s">
        <v>85</v>
      </c>
      <c r="E91" t="s">
        <v>15</v>
      </c>
      <c r="F91" t="s">
        <v>16</v>
      </c>
      <c r="G91">
        <v>4376</v>
      </c>
      <c r="H91">
        <v>114313</v>
      </c>
      <c r="I91">
        <f>G91/L91*100</f>
        <v>3.157537755521723</v>
      </c>
      <c r="J91">
        <f>G91/H91*100</f>
        <v>3.8280860444568861</v>
      </c>
      <c r="K91" t="s">
        <v>17</v>
      </c>
      <c r="L91">
        <v>138589</v>
      </c>
    </row>
    <row r="92" spans="1:12">
      <c r="A92" t="s">
        <v>169</v>
      </c>
      <c r="B92" s="2">
        <v>119</v>
      </c>
      <c r="C92" s="2">
        <v>4</v>
      </c>
      <c r="D92" t="s">
        <v>170</v>
      </c>
      <c r="E92" t="s">
        <v>22</v>
      </c>
      <c r="F92" t="s">
        <v>171</v>
      </c>
      <c r="G92">
        <v>1299</v>
      </c>
      <c r="H92">
        <v>104500</v>
      </c>
      <c r="I92">
        <f>G92/L92*100</f>
        <v>1.059301301497211</v>
      </c>
      <c r="J92">
        <f>G92/H92*100</f>
        <v>1.2430622009569379</v>
      </c>
      <c r="K92" t="s">
        <v>17</v>
      </c>
      <c r="L92">
        <v>122628</v>
      </c>
    </row>
    <row r="93" spans="1:12">
      <c r="A93" t="s">
        <v>104</v>
      </c>
      <c r="B93" s="2">
        <v>120</v>
      </c>
      <c r="C93" s="2">
        <v>2</v>
      </c>
      <c r="D93" t="s">
        <v>105</v>
      </c>
      <c r="E93" t="s">
        <v>87</v>
      </c>
      <c r="F93" t="s">
        <v>91</v>
      </c>
      <c r="G93">
        <v>42520</v>
      </c>
      <c r="H93">
        <v>98504</v>
      </c>
      <c r="I93">
        <f>G93/L93*100</f>
        <v>36.071498256657364</v>
      </c>
      <c r="J93">
        <f>G93/H93*100</f>
        <v>43.165759766100869</v>
      </c>
      <c r="K93" t="s">
        <v>26</v>
      </c>
      <c r="L93">
        <v>117877</v>
      </c>
    </row>
  </sheetData>
  <sortState ref="A3:L93">
    <sortCondition ref="B3:B93"/>
  </sortState>
  <mergeCells count="1">
    <mergeCell ref="A1:L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WorksheetName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eci</cp:lastModifiedBy>
  <dcterms:created xsi:type="dcterms:W3CDTF">2016-08-22T06:31:51Z</dcterms:created>
  <dcterms:modified xsi:type="dcterms:W3CDTF">2016-08-22T06:49:04Z</dcterms:modified>
</cp:coreProperties>
</file>