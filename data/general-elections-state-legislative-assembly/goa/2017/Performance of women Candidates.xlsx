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70" yWindow="600" windowWidth="19815" windowHeight="6855"/>
  </bookViews>
  <sheets>
    <sheet name="PerformanceWomenCandidate" sheetId="2" r:id="rId1"/>
  </sheets>
  <calcPr calcId="125725"/>
</workbook>
</file>

<file path=xl/calcChain.xml><?xml version="1.0" encoding="utf-8"?>
<calcChain xmlns="http://schemas.openxmlformats.org/spreadsheetml/2006/main">
  <c r="I3" i="2"/>
  <c r="J3"/>
  <c r="I4"/>
  <c r="J4"/>
  <c r="I5"/>
  <c r="J5"/>
  <c r="I6"/>
  <c r="J6"/>
  <c r="I7"/>
  <c r="J7"/>
  <c r="I8"/>
  <c r="J8"/>
  <c r="I9"/>
  <c r="J9"/>
  <c r="I10"/>
  <c r="J10"/>
  <c r="I11"/>
  <c r="J11"/>
  <c r="I12"/>
  <c r="J12"/>
  <c r="I13"/>
  <c r="J13"/>
  <c r="I14"/>
  <c r="J14"/>
  <c r="I15"/>
  <c r="J15"/>
  <c r="I16"/>
  <c r="J16"/>
  <c r="I17"/>
  <c r="J17"/>
  <c r="I18"/>
  <c r="J18"/>
  <c r="I19"/>
  <c r="J19"/>
  <c r="I20"/>
  <c r="J20"/>
  <c r="I21"/>
  <c r="J21"/>
</calcChain>
</file>

<file path=xl/sharedStrings.xml><?xml version="1.0" encoding="utf-8"?>
<sst xmlns="http://schemas.openxmlformats.org/spreadsheetml/2006/main" count="128" uniqueCount="61">
  <si>
    <t>Performance Of Women Candidates</t>
  </si>
  <si>
    <t>Constituency Name</t>
  </si>
  <si>
    <t>Constituency No.</t>
  </si>
  <si>
    <t>Candidate No.</t>
  </si>
  <si>
    <t>Candidate Name</t>
  </si>
  <si>
    <t>Party Type</t>
  </si>
  <si>
    <t>Party Name</t>
  </si>
  <si>
    <t xml:space="preserve"> Vote Secured</t>
  </si>
  <si>
    <t xml:space="preserve"> Total Valid Votes</t>
  </si>
  <si>
    <t xml:space="preserve"> % of Votes Secured Over Total Electors</t>
  </si>
  <si>
    <t xml:space="preserve"> % of Votes Secured Over Total Votes Poled</t>
  </si>
  <si>
    <t xml:space="preserve"> Status</t>
  </si>
  <si>
    <t>Total Electors</t>
  </si>
  <si>
    <t>Constituency Type</t>
  </si>
  <si>
    <t>Taleigao</t>
  </si>
  <si>
    <t>CECILLE RODRIGUES</t>
  </si>
  <si>
    <t>U</t>
  </si>
  <si>
    <t>AAAP</t>
  </si>
  <si>
    <t>FD</t>
  </si>
  <si>
    <t>GEN</t>
  </si>
  <si>
    <t>Aldona</t>
  </si>
  <si>
    <t>ROSY URSULA D`SOUZA</t>
  </si>
  <si>
    <t>Benaulim</t>
  </si>
  <si>
    <t>ROYLA CLARINA FERNANDES</t>
  </si>
  <si>
    <t>L</t>
  </si>
  <si>
    <t>Mapusa</t>
  </si>
  <si>
    <t>SHRADDHA KHALAP</t>
  </si>
  <si>
    <t>Vasco-da-gama</t>
  </si>
  <si>
    <t>LORETTA SHREEDHARAN</t>
  </si>
  <si>
    <t>St. Cruz</t>
  </si>
  <si>
    <t>HELENA LOURENCO</t>
  </si>
  <si>
    <t>Z</t>
  </si>
  <si>
    <t>IND</t>
  </si>
  <si>
    <t>Mormugao</t>
  </si>
  <si>
    <t>MARIA LIBERATA MENDONCA</t>
  </si>
  <si>
    <t>JUDITH AURELIA BAPTISTA ALMEIDA ALIAS JUDITH ALMEIDA</t>
  </si>
  <si>
    <t>RAMESHWARI MORAJKAR</t>
  </si>
  <si>
    <t>GSRP</t>
  </si>
  <si>
    <t>Sanguem</t>
  </si>
  <si>
    <t>RAKHI NAIK</t>
  </si>
  <si>
    <t>N</t>
  </si>
  <si>
    <t>NCP</t>
  </si>
  <si>
    <t>Dabolim</t>
  </si>
  <si>
    <t>TARA GOVIND KERKAR</t>
  </si>
  <si>
    <t>JENNIFER MONSERRATE</t>
  </si>
  <si>
    <t>INC</t>
  </si>
  <si>
    <t>W</t>
  </si>
  <si>
    <t>SAVITRI KAVLEKAR</t>
  </si>
  <si>
    <t>Marcaim</t>
  </si>
  <si>
    <t>URMILA ALIAS VINDIKSHA VINOD NAIK</t>
  </si>
  <si>
    <t>Cortalim</t>
  </si>
  <si>
    <t>SUMAN SHARMA</t>
  </si>
  <si>
    <t>S</t>
  </si>
  <si>
    <t>MAG</t>
  </si>
  <si>
    <t>ALINA SALDANHA</t>
  </si>
  <si>
    <t>BJP</t>
  </si>
  <si>
    <t>Siroda</t>
  </si>
  <si>
    <t>DIYA CHANDRAKANT SHETKAR</t>
  </si>
  <si>
    <t>MARIA DA LUZ ARLINDA GOMES E REBELO</t>
  </si>
  <si>
    <t>GVP</t>
  </si>
  <si>
    <t>NELLY RODRIGUES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</si>
</sst>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horizontal="center"/>
    </xf>
    <xf numFmtId="0" fontId="0" fillId="0" borderId="1" xfId="0" applyNumberFormat="1" applyFill="1" applyBorder="1" applyAlignment="1" applyProtection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>
      <selection activeCell="N5" sqref="N5"/>
    </sheetView>
  </sheetViews>
  <sheetFormatPr defaultRowHeight="15"/>
  <cols>
    <col min="2" max="2" width="10.7109375" customWidth="1"/>
    <col min="3" max="3" width="11.140625" customWidth="1"/>
    <col min="4" max="4" width="10.5703125" customWidth="1"/>
    <col min="5" max="5" width="9.85546875" customWidth="1"/>
    <col min="6" max="6" width="9.7109375" customWidth="1"/>
    <col min="10" max="10" width="10" customWidth="1"/>
  </cols>
  <sheetData>
    <row r="1" spans="1:13" ht="18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9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t="s">
        <v>14</v>
      </c>
      <c r="B3">
        <v>12</v>
      </c>
      <c r="C3">
        <v>3</v>
      </c>
      <c r="D3" t="s">
        <v>15</v>
      </c>
      <c r="E3" t="s">
        <v>16</v>
      </c>
      <c r="F3" t="s">
        <v>17</v>
      </c>
      <c r="G3">
        <v>1976</v>
      </c>
      <c r="H3">
        <v>22556</v>
      </c>
      <c r="I3">
        <f t="shared" ref="I3:I21" si="0">G3/L3*100</f>
        <v>7.0915877117427497</v>
      </c>
      <c r="J3">
        <f t="shared" ref="J3:J21" si="1">G3/H3*100</f>
        <v>8.7604185139209072</v>
      </c>
      <c r="K3" t="s">
        <v>18</v>
      </c>
      <c r="L3">
        <v>27864</v>
      </c>
      <c r="M3" t="s">
        <v>19</v>
      </c>
    </row>
    <row r="4" spans="1:13">
      <c r="A4" t="s">
        <v>20</v>
      </c>
      <c r="B4">
        <v>10</v>
      </c>
      <c r="C4">
        <v>5</v>
      </c>
      <c r="D4" t="s">
        <v>21</v>
      </c>
      <c r="E4" t="s">
        <v>16</v>
      </c>
      <c r="F4" t="s">
        <v>17</v>
      </c>
      <c r="G4">
        <v>3272</v>
      </c>
      <c r="H4">
        <v>21606</v>
      </c>
      <c r="I4">
        <f t="shared" si="0"/>
        <v>11.924632821895841</v>
      </c>
      <c r="J4">
        <f t="shared" si="1"/>
        <v>15.143941497732111</v>
      </c>
      <c r="K4" t="s">
        <v>18</v>
      </c>
      <c r="L4">
        <v>27439</v>
      </c>
      <c r="M4" t="s">
        <v>19</v>
      </c>
    </row>
    <row r="5" spans="1:13">
      <c r="A5" t="s">
        <v>22</v>
      </c>
      <c r="B5">
        <v>32</v>
      </c>
      <c r="C5">
        <v>5</v>
      </c>
      <c r="D5" t="s">
        <v>23</v>
      </c>
      <c r="E5" t="s">
        <v>16</v>
      </c>
      <c r="F5" t="s">
        <v>17</v>
      </c>
      <c r="G5">
        <v>4182</v>
      </c>
      <c r="H5">
        <v>21314</v>
      </c>
      <c r="I5">
        <f t="shared" si="0"/>
        <v>14.620843967416006</v>
      </c>
      <c r="J5">
        <f t="shared" si="1"/>
        <v>19.62090644646711</v>
      </c>
      <c r="K5" t="s">
        <v>24</v>
      </c>
      <c r="L5">
        <v>28603</v>
      </c>
      <c r="M5" t="s">
        <v>19</v>
      </c>
    </row>
    <row r="6" spans="1:13">
      <c r="A6" t="s">
        <v>25</v>
      </c>
      <c r="B6">
        <v>5</v>
      </c>
      <c r="C6">
        <v>6</v>
      </c>
      <c r="D6" t="s">
        <v>26</v>
      </c>
      <c r="E6" t="s">
        <v>16</v>
      </c>
      <c r="F6" t="s">
        <v>17</v>
      </c>
      <c r="G6">
        <v>2321</v>
      </c>
      <c r="H6">
        <v>22764</v>
      </c>
      <c r="I6">
        <f t="shared" si="0"/>
        <v>8.0567897806164961</v>
      </c>
      <c r="J6">
        <f t="shared" si="1"/>
        <v>10.195923387805307</v>
      </c>
      <c r="K6" t="s">
        <v>18</v>
      </c>
      <c r="L6">
        <v>28808</v>
      </c>
      <c r="M6" t="s">
        <v>19</v>
      </c>
    </row>
    <row r="7" spans="1:13">
      <c r="A7" t="s">
        <v>27</v>
      </c>
      <c r="B7">
        <v>25</v>
      </c>
      <c r="C7">
        <v>6</v>
      </c>
      <c r="D7" t="s">
        <v>28</v>
      </c>
      <c r="E7" t="s">
        <v>16</v>
      </c>
      <c r="F7" t="s">
        <v>17</v>
      </c>
      <c r="G7">
        <v>928</v>
      </c>
      <c r="H7">
        <v>26099</v>
      </c>
      <c r="I7">
        <f t="shared" si="0"/>
        <v>2.5822249429573154</v>
      </c>
      <c r="J7">
        <f t="shared" si="1"/>
        <v>3.5556917889574309</v>
      </c>
      <c r="K7" t="s">
        <v>18</v>
      </c>
      <c r="L7">
        <v>35938</v>
      </c>
      <c r="M7" t="s">
        <v>19</v>
      </c>
    </row>
    <row r="8" spans="1:13">
      <c r="A8" t="s">
        <v>29</v>
      </c>
      <c r="B8">
        <v>13</v>
      </c>
      <c r="C8">
        <v>7</v>
      </c>
      <c r="D8" t="s">
        <v>30</v>
      </c>
      <c r="E8" t="s">
        <v>31</v>
      </c>
      <c r="F8" t="s">
        <v>32</v>
      </c>
      <c r="G8">
        <v>227</v>
      </c>
      <c r="H8">
        <v>22215</v>
      </c>
      <c r="I8">
        <f t="shared" si="0"/>
        <v>0.81916928295622682</v>
      </c>
      <c r="J8">
        <f t="shared" si="1"/>
        <v>1.0218320954310152</v>
      </c>
      <c r="K8" t="s">
        <v>18</v>
      </c>
      <c r="L8">
        <v>27711</v>
      </c>
      <c r="M8" t="s">
        <v>19</v>
      </c>
    </row>
    <row r="9" spans="1:13">
      <c r="A9" t="s">
        <v>33</v>
      </c>
      <c r="B9">
        <v>24</v>
      </c>
      <c r="C9">
        <v>5</v>
      </c>
      <c r="D9" t="s">
        <v>34</v>
      </c>
      <c r="E9" t="s">
        <v>31</v>
      </c>
      <c r="F9" t="s">
        <v>32</v>
      </c>
      <c r="G9">
        <v>31</v>
      </c>
      <c r="H9">
        <v>17340</v>
      </c>
      <c r="I9">
        <f t="shared" si="0"/>
        <v>0.14454910006528024</v>
      </c>
      <c r="J9">
        <f t="shared" si="1"/>
        <v>0.17877739331026526</v>
      </c>
      <c r="K9" t="s">
        <v>18</v>
      </c>
      <c r="L9">
        <v>21446</v>
      </c>
      <c r="M9" t="s">
        <v>19</v>
      </c>
    </row>
    <row r="10" spans="1:13">
      <c r="A10" t="s">
        <v>22</v>
      </c>
      <c r="B10">
        <v>32</v>
      </c>
      <c r="C10">
        <v>7</v>
      </c>
      <c r="D10" t="s">
        <v>35</v>
      </c>
      <c r="E10" t="s">
        <v>31</v>
      </c>
      <c r="F10" t="s">
        <v>32</v>
      </c>
      <c r="G10">
        <v>357</v>
      </c>
      <c r="H10">
        <v>21314</v>
      </c>
      <c r="I10">
        <f t="shared" si="0"/>
        <v>1.2481208264867321</v>
      </c>
      <c r="J10">
        <f t="shared" si="1"/>
        <v>1.6749554283569483</v>
      </c>
      <c r="K10" t="s">
        <v>18</v>
      </c>
      <c r="L10">
        <v>28603</v>
      </c>
      <c r="M10" t="s">
        <v>19</v>
      </c>
    </row>
    <row r="11" spans="1:13">
      <c r="A11" t="s">
        <v>25</v>
      </c>
      <c r="B11">
        <v>5</v>
      </c>
      <c r="C11">
        <v>5</v>
      </c>
      <c r="D11" t="s">
        <v>36</v>
      </c>
      <c r="E11" t="s">
        <v>16</v>
      </c>
      <c r="F11" t="s">
        <v>37</v>
      </c>
      <c r="G11">
        <v>103</v>
      </c>
      <c r="H11">
        <v>22764</v>
      </c>
      <c r="I11">
        <f t="shared" si="0"/>
        <v>0.35753957234101635</v>
      </c>
      <c r="J11">
        <f t="shared" si="1"/>
        <v>0.45246881040238979</v>
      </c>
      <c r="K11" t="s">
        <v>18</v>
      </c>
      <c r="L11">
        <v>28808</v>
      </c>
      <c r="M11" t="s">
        <v>19</v>
      </c>
    </row>
    <row r="12" spans="1:13">
      <c r="A12" t="s">
        <v>38</v>
      </c>
      <c r="B12">
        <v>39</v>
      </c>
      <c r="C12">
        <v>1</v>
      </c>
      <c r="D12" t="s">
        <v>39</v>
      </c>
      <c r="E12" t="s">
        <v>40</v>
      </c>
      <c r="F12" t="s">
        <v>41</v>
      </c>
      <c r="G12">
        <v>125</v>
      </c>
      <c r="H12">
        <v>22683</v>
      </c>
      <c r="I12">
        <f t="shared" si="0"/>
        <v>0.48507897085645546</v>
      </c>
      <c r="J12">
        <f t="shared" si="1"/>
        <v>0.55107349116078119</v>
      </c>
      <c r="K12" t="s">
        <v>18</v>
      </c>
      <c r="L12">
        <v>25769</v>
      </c>
      <c r="M12" t="s">
        <v>19</v>
      </c>
    </row>
    <row r="13" spans="1:13">
      <c r="A13" t="s">
        <v>42</v>
      </c>
      <c r="B13">
        <v>26</v>
      </c>
      <c r="C13">
        <v>9</v>
      </c>
      <c r="D13" t="s">
        <v>43</v>
      </c>
      <c r="E13" t="s">
        <v>31</v>
      </c>
      <c r="F13" t="s">
        <v>32</v>
      </c>
      <c r="G13">
        <v>124</v>
      </c>
      <c r="H13">
        <v>17473</v>
      </c>
      <c r="I13">
        <f t="shared" si="0"/>
        <v>0.54746136865342165</v>
      </c>
      <c r="J13">
        <f t="shared" si="1"/>
        <v>0.70966634235677906</v>
      </c>
      <c r="K13" t="s">
        <v>18</v>
      </c>
      <c r="L13">
        <v>22650</v>
      </c>
      <c r="M13" t="s">
        <v>19</v>
      </c>
    </row>
    <row r="14" spans="1:13">
      <c r="A14" t="s">
        <v>14</v>
      </c>
      <c r="B14">
        <v>12</v>
      </c>
      <c r="C14">
        <v>2</v>
      </c>
      <c r="D14" t="s">
        <v>44</v>
      </c>
      <c r="E14" t="s">
        <v>40</v>
      </c>
      <c r="F14" t="s">
        <v>45</v>
      </c>
      <c r="G14">
        <v>11534</v>
      </c>
      <c r="H14">
        <v>22556</v>
      </c>
      <c r="I14">
        <f t="shared" si="0"/>
        <v>41.393913293138098</v>
      </c>
      <c r="J14">
        <f t="shared" si="1"/>
        <v>51.134953005852104</v>
      </c>
      <c r="K14" t="s">
        <v>46</v>
      </c>
      <c r="L14">
        <v>27864</v>
      </c>
      <c r="M14" t="s">
        <v>19</v>
      </c>
    </row>
    <row r="15" spans="1:13">
      <c r="A15" t="s">
        <v>38</v>
      </c>
      <c r="B15">
        <v>39</v>
      </c>
      <c r="C15">
        <v>2</v>
      </c>
      <c r="D15" t="s">
        <v>47</v>
      </c>
      <c r="E15" t="s">
        <v>40</v>
      </c>
      <c r="F15" t="s">
        <v>45</v>
      </c>
      <c r="G15">
        <v>5736</v>
      </c>
      <c r="H15">
        <v>22683</v>
      </c>
      <c r="I15">
        <f t="shared" si="0"/>
        <v>22.259303814661028</v>
      </c>
      <c r="J15">
        <f t="shared" si="1"/>
        <v>25.287660362385928</v>
      </c>
      <c r="K15" t="s">
        <v>24</v>
      </c>
      <c r="L15">
        <v>25769</v>
      </c>
      <c r="M15" t="s">
        <v>19</v>
      </c>
    </row>
    <row r="16" spans="1:13">
      <c r="A16" t="s">
        <v>48</v>
      </c>
      <c r="B16">
        <v>23</v>
      </c>
      <c r="C16">
        <v>3</v>
      </c>
      <c r="D16" t="s">
        <v>49</v>
      </c>
      <c r="E16" t="s">
        <v>40</v>
      </c>
      <c r="F16" t="s">
        <v>45</v>
      </c>
      <c r="G16">
        <v>1259</v>
      </c>
      <c r="H16">
        <v>23356</v>
      </c>
      <c r="I16">
        <f t="shared" si="0"/>
        <v>4.6657278387192411</v>
      </c>
      <c r="J16">
        <f t="shared" si="1"/>
        <v>5.3904778215447848</v>
      </c>
      <c r="K16" t="s">
        <v>18</v>
      </c>
      <c r="L16">
        <v>26984</v>
      </c>
      <c r="M16" t="s">
        <v>19</v>
      </c>
    </row>
    <row r="17" spans="1:13">
      <c r="A17" t="s">
        <v>50</v>
      </c>
      <c r="B17">
        <v>27</v>
      </c>
      <c r="C17">
        <v>3</v>
      </c>
      <c r="D17" t="s">
        <v>51</v>
      </c>
      <c r="E17" t="s">
        <v>52</v>
      </c>
      <c r="F17" t="s">
        <v>53</v>
      </c>
      <c r="G17">
        <v>75</v>
      </c>
      <c r="H17">
        <v>23486</v>
      </c>
      <c r="I17">
        <f t="shared" si="0"/>
        <v>0.24620030857105341</v>
      </c>
      <c r="J17">
        <f t="shared" si="1"/>
        <v>0.31933918078855489</v>
      </c>
      <c r="K17" t="s">
        <v>18</v>
      </c>
      <c r="L17">
        <v>30463</v>
      </c>
      <c r="M17" t="s">
        <v>19</v>
      </c>
    </row>
    <row r="18" spans="1:13">
      <c r="A18" t="s">
        <v>50</v>
      </c>
      <c r="B18">
        <v>27</v>
      </c>
      <c r="C18">
        <v>1</v>
      </c>
      <c r="D18" t="s">
        <v>54</v>
      </c>
      <c r="E18" t="s">
        <v>40</v>
      </c>
      <c r="F18" t="s">
        <v>55</v>
      </c>
      <c r="G18">
        <v>5666</v>
      </c>
      <c r="H18">
        <v>23486</v>
      </c>
      <c r="I18">
        <f t="shared" si="0"/>
        <v>18.599612644847848</v>
      </c>
      <c r="J18">
        <f t="shared" si="1"/>
        <v>24.12501064463936</v>
      </c>
      <c r="K18" t="s">
        <v>46</v>
      </c>
      <c r="L18">
        <v>30463</v>
      </c>
      <c r="M18" t="s">
        <v>19</v>
      </c>
    </row>
    <row r="19" spans="1:13">
      <c r="A19" t="s">
        <v>56</v>
      </c>
      <c r="B19">
        <v>22</v>
      </c>
      <c r="C19">
        <v>5</v>
      </c>
      <c r="D19" t="s">
        <v>57</v>
      </c>
      <c r="E19" t="s">
        <v>31</v>
      </c>
      <c r="F19" t="s">
        <v>32</v>
      </c>
      <c r="G19">
        <v>140</v>
      </c>
      <c r="H19">
        <v>24624</v>
      </c>
      <c r="I19">
        <f t="shared" si="0"/>
        <v>0.49531222359808952</v>
      </c>
      <c r="J19">
        <f t="shared" si="1"/>
        <v>0.5685510071474984</v>
      </c>
      <c r="K19" t="s">
        <v>18</v>
      </c>
      <c r="L19">
        <v>28265</v>
      </c>
      <c r="M19" t="s">
        <v>19</v>
      </c>
    </row>
    <row r="20" spans="1:13">
      <c r="A20" t="s">
        <v>22</v>
      </c>
      <c r="B20">
        <v>32</v>
      </c>
      <c r="C20">
        <v>4</v>
      </c>
      <c r="D20" t="s">
        <v>58</v>
      </c>
      <c r="E20" t="s">
        <v>16</v>
      </c>
      <c r="F20" t="s">
        <v>59</v>
      </c>
      <c r="G20">
        <v>492</v>
      </c>
      <c r="H20">
        <v>21314</v>
      </c>
      <c r="I20">
        <f t="shared" si="0"/>
        <v>1.7200992902842358</v>
      </c>
      <c r="J20">
        <f t="shared" si="1"/>
        <v>2.3083419348784835</v>
      </c>
      <c r="K20" t="s">
        <v>18</v>
      </c>
      <c r="L20">
        <v>28603</v>
      </c>
      <c r="M20" t="s">
        <v>19</v>
      </c>
    </row>
    <row r="21" spans="1:13">
      <c r="A21" t="s">
        <v>50</v>
      </c>
      <c r="B21">
        <v>27</v>
      </c>
      <c r="C21">
        <v>5</v>
      </c>
      <c r="D21" t="s">
        <v>60</v>
      </c>
      <c r="E21" t="s">
        <v>16</v>
      </c>
      <c r="F21" t="s">
        <v>59</v>
      </c>
      <c r="G21">
        <v>3380</v>
      </c>
      <c r="H21">
        <v>23486</v>
      </c>
      <c r="I21">
        <f t="shared" si="0"/>
        <v>11.09542723960214</v>
      </c>
      <c r="J21">
        <f t="shared" si="1"/>
        <v>14.391552414204206</v>
      </c>
      <c r="K21" t="s">
        <v>18</v>
      </c>
      <c r="L21">
        <v>30463</v>
      </c>
      <c r="M21" t="s">
        <v>19</v>
      </c>
    </row>
  </sheetData>
  <mergeCells count="1">
    <mergeCell ref="A1:M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PerformanceWomenCandidate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eci</cp:lastModifiedBy>
  <dcterms:created xsi:type="dcterms:W3CDTF">2017-04-12T06:00:20Z</dcterms:created>
  <dcterms:modified xsi:type="dcterms:W3CDTF">2017-04-12T06:09:07Z</dcterms:modified>
</cp:coreProperties>
</file>