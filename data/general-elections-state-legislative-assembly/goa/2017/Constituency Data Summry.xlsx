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 activeTab="1"/>
  </bookViews>
  <sheets>
    <sheet name="1  Mandrem" sheetId="2" r:id="rId1"/>
    <sheet name="2  Pernem " sheetId="3" r:id="rId2"/>
    <sheet name="3  Bicholim" sheetId="4" r:id="rId3"/>
    <sheet name="4  Tivim" sheetId="5" r:id="rId4"/>
    <sheet name="5  Mapusa" sheetId="6" r:id="rId5"/>
    <sheet name="6  Siolim" sheetId="7" r:id="rId6"/>
    <sheet name="7  Saligao" sheetId="8" r:id="rId7"/>
    <sheet name="8  Calangute" sheetId="9" r:id="rId8"/>
    <sheet name="9  Porvorim" sheetId="10" r:id="rId9"/>
    <sheet name="10  Aldona" sheetId="11" r:id="rId10"/>
    <sheet name="11  Panaji" sheetId="12" r:id="rId11"/>
    <sheet name="12  Taleigao" sheetId="13" r:id="rId12"/>
    <sheet name="13  St. Cruz" sheetId="14" r:id="rId13"/>
    <sheet name="14  St. Andre" sheetId="15" r:id="rId14"/>
    <sheet name="15  Cumbarjua" sheetId="16" r:id="rId15"/>
    <sheet name="16  Maem" sheetId="17" r:id="rId16"/>
    <sheet name="17  Sanquelim" sheetId="18" r:id="rId17"/>
    <sheet name="18  Poriem" sheetId="19" r:id="rId18"/>
    <sheet name="19  Valpoi" sheetId="20" r:id="rId19"/>
    <sheet name="20  Priol" sheetId="21" r:id="rId20"/>
    <sheet name="21  Ponda" sheetId="22" r:id="rId21"/>
    <sheet name="22  Siroda" sheetId="23" r:id="rId22"/>
    <sheet name="23  Marcaim" sheetId="24" r:id="rId23"/>
    <sheet name="24  Mormugao" sheetId="25" r:id="rId24"/>
    <sheet name="25  Vasco-da-gama" sheetId="26" r:id="rId25"/>
    <sheet name="26  Dabolim" sheetId="27" r:id="rId26"/>
    <sheet name="27  Cortalim" sheetId="28" r:id="rId27"/>
    <sheet name="28  Nuvem" sheetId="29" r:id="rId28"/>
    <sheet name="29  Curtorim" sheetId="30" r:id="rId29"/>
    <sheet name="30  Fatorda" sheetId="31" r:id="rId30"/>
    <sheet name="31  Margao" sheetId="32" r:id="rId31"/>
    <sheet name="32  Benaulim" sheetId="33" r:id="rId32"/>
    <sheet name="33  Navelim" sheetId="34" r:id="rId33"/>
    <sheet name="34  Cuncolim " sheetId="35" r:id="rId34"/>
    <sheet name="35  Velim" sheetId="36" r:id="rId35"/>
    <sheet name="36  Quepem" sheetId="37" r:id="rId36"/>
    <sheet name="37  Curchorem" sheetId="38" r:id="rId37"/>
    <sheet name="38  Sanvordem" sheetId="39" r:id="rId38"/>
    <sheet name="39  Sanguem" sheetId="40" r:id="rId39"/>
    <sheet name="40  Canacona" sheetId="41" r:id="rId40"/>
  </sheets>
  <calcPr calcId="125725"/>
</workbook>
</file>

<file path=xl/calcChain.xml><?xml version="1.0" encoding="utf-8"?>
<calcChain xmlns="http://schemas.openxmlformats.org/spreadsheetml/2006/main">
  <c r="J5" i="2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4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5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6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7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8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9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0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1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2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3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4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5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6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7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8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19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0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1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2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23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4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25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6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7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8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29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0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1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2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3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4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5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6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7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8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9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40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41"/>
  <c r="J6"/>
  <c r="J7"/>
  <c r="D8"/>
  <c r="J8" s="1"/>
  <c r="F8"/>
  <c r="H8"/>
  <c r="J9"/>
  <c r="J12"/>
  <c r="J13"/>
  <c r="J14"/>
  <c r="D15"/>
  <c r="J15" s="1"/>
  <c r="F15"/>
  <c r="H15"/>
  <c r="J18"/>
  <c r="J22" s="1"/>
  <c r="J19"/>
  <c r="C28" i="33" l="1"/>
  <c r="J23"/>
  <c r="C28" i="28"/>
  <c r="J23"/>
  <c r="C28" i="16"/>
  <c r="J23"/>
  <c r="C28" i="39"/>
  <c r="J23"/>
  <c r="C28" i="32"/>
  <c r="J23"/>
  <c r="C28" i="27"/>
  <c r="J23"/>
  <c r="C28" i="24"/>
  <c r="J23"/>
  <c r="C28" i="23"/>
  <c r="J23"/>
  <c r="C28" i="19"/>
  <c r="J23"/>
  <c r="C28" i="15"/>
  <c r="J23"/>
  <c r="C28" i="11"/>
  <c r="J23"/>
  <c r="C28" i="7"/>
  <c r="J23"/>
  <c r="C28" i="3"/>
  <c r="J23"/>
  <c r="C28" i="40"/>
  <c r="J23"/>
  <c r="C28" i="38"/>
  <c r="J23"/>
  <c r="C28" i="35"/>
  <c r="J23"/>
  <c r="C28" i="31"/>
  <c r="J23"/>
  <c r="C28" i="30"/>
  <c r="J23"/>
  <c r="C28" i="26"/>
  <c r="J23"/>
  <c r="C28" i="18"/>
  <c r="J23"/>
  <c r="C28" i="14"/>
  <c r="J23"/>
  <c r="C28" i="10"/>
  <c r="J23"/>
  <c r="C28" i="6"/>
  <c r="J23"/>
  <c r="C28" i="2"/>
  <c r="J23"/>
  <c r="C28" i="36"/>
  <c r="J23"/>
  <c r="C28" i="20"/>
  <c r="J23"/>
  <c r="J23" i="41"/>
  <c r="C28"/>
  <c r="C28" i="37"/>
  <c r="J23"/>
  <c r="C28" i="34"/>
  <c r="J23"/>
  <c r="C28" i="29"/>
  <c r="J23"/>
  <c r="C28" i="25"/>
  <c r="J23"/>
  <c r="C28" i="22"/>
  <c r="J23"/>
  <c r="C28" i="21"/>
  <c r="J23"/>
  <c r="C28" i="17"/>
  <c r="J23"/>
  <c r="C28" i="13"/>
  <c r="J23"/>
  <c r="C28" i="9"/>
  <c r="J23"/>
  <c r="C28" i="5"/>
  <c r="J23"/>
  <c r="C28" i="12"/>
  <c r="J23"/>
  <c r="C28" i="8"/>
  <c r="J23"/>
  <c r="C28" i="4"/>
  <c r="J23"/>
</calcChain>
</file>

<file path=xl/sharedStrings.xml><?xml version="1.0" encoding="utf-8"?>
<sst xmlns="http://schemas.openxmlformats.org/spreadsheetml/2006/main" count="1960" uniqueCount="170">
  <si>
    <t>CONSTITUENCY DATA SUMMERY</t>
  </si>
  <si>
    <t>Constituency Name</t>
  </si>
  <si>
    <t>Mandrem</t>
  </si>
  <si>
    <t>CANDIDATES CATEGORY</t>
  </si>
  <si>
    <t>Men</t>
  </si>
  <si>
    <t>Woman</t>
  </si>
  <si>
    <t>Others</t>
  </si>
  <si>
    <t>Total</t>
  </si>
  <si>
    <t>Nomination Field</t>
  </si>
  <si>
    <t>Nomination Rejected</t>
  </si>
  <si>
    <t>Withdrawn</t>
  </si>
  <si>
    <t>Contested</t>
  </si>
  <si>
    <t>Forfeited Deposit</t>
  </si>
  <si>
    <t>ELECTORS</t>
  </si>
  <si>
    <t>General(other than OVERSEAS)</t>
  </si>
  <si>
    <t>OVERSEAS</t>
  </si>
  <si>
    <t>Service</t>
  </si>
  <si>
    <t>VOTERS</t>
  </si>
  <si>
    <t>Proxy(already included in |||.1 General )</t>
  </si>
  <si>
    <t>Postal</t>
  </si>
  <si>
    <t>POLLING PERCENTAGE</t>
  </si>
  <si>
    <t>VOTES</t>
  </si>
  <si>
    <t>Rejected Votes (Postal)</t>
  </si>
  <si>
    <t>Votes Not Retrieved From EVM</t>
  </si>
  <si>
    <t>Total Valid Votes polled</t>
  </si>
  <si>
    <t>Tendered Votes</t>
  </si>
  <si>
    <t>POLLING STATION</t>
  </si>
  <si>
    <t>Average Electors Per Polling Station</t>
  </si>
  <si>
    <t>Dates(s) of Re-Poll if Any</t>
  </si>
  <si>
    <t>Numbers of Polling Stations where Re-Poll was Order</t>
  </si>
  <si>
    <t>DATES</t>
  </si>
  <si>
    <t>Polling</t>
  </si>
  <si>
    <t>Counting</t>
  </si>
  <si>
    <t>Declartion Of Result</t>
  </si>
  <si>
    <t>RESULT</t>
  </si>
  <si>
    <t>Party</t>
  </si>
  <si>
    <t>Candidates</t>
  </si>
  <si>
    <t>Votes</t>
  </si>
  <si>
    <t>Winner</t>
  </si>
  <si>
    <t xml:space="preserve">INC       </t>
  </si>
  <si>
    <t>Dayanand Raghunath Sopte</t>
  </si>
  <si>
    <t>Runner-Up</t>
  </si>
  <si>
    <t xml:space="preserve">BJP       </t>
  </si>
  <si>
    <t>Laxmikant Parsekar</t>
  </si>
  <si>
    <t>Margin</t>
  </si>
  <si>
    <t xml:space="preserve">Pernem </t>
  </si>
  <si>
    <t xml:space="preserve">MAG       </t>
  </si>
  <si>
    <t>Ajgaonkar Manohar Trimbak</t>
  </si>
  <si>
    <t>Rajendra Arlekar</t>
  </si>
  <si>
    <t>Bicholim</t>
  </si>
  <si>
    <t>Rajesh Patnekar</t>
  </si>
  <si>
    <t>Naresh Sawal</t>
  </si>
  <si>
    <t>Tivim</t>
  </si>
  <si>
    <t>Nilkanth Ramnath Halarnkar</t>
  </si>
  <si>
    <t>Kiran Mohan Kandolkar</t>
  </si>
  <si>
    <t>Mapusa</t>
  </si>
  <si>
    <t>Francisco C. J. A. De Pinto E Souza</t>
  </si>
  <si>
    <t>Vinod Fadke</t>
  </si>
  <si>
    <t>Siolim</t>
  </si>
  <si>
    <t xml:space="preserve">GFP       </t>
  </si>
  <si>
    <t>Vinoda Datarama Paliencar</t>
  </si>
  <si>
    <t>Dayanand Rayu Mandrekar</t>
  </si>
  <si>
    <t>Saligao</t>
  </si>
  <si>
    <t>Jayesh Vidyadhar Salgaonkar</t>
  </si>
  <si>
    <t>Dilip Parulekar</t>
  </si>
  <si>
    <t>Calangute</t>
  </si>
  <si>
    <t>Michael Vincent Lobo</t>
  </si>
  <si>
    <t>Joseph Robert Sequeira</t>
  </si>
  <si>
    <t>Porvorim</t>
  </si>
  <si>
    <t xml:space="preserve">IND       </t>
  </si>
  <si>
    <t>Rohan Khaunte</t>
  </si>
  <si>
    <t>Guruprasad R. Pawaskar</t>
  </si>
  <si>
    <t>Aldona</t>
  </si>
  <si>
    <t>Glenn Souza Ticlo</t>
  </si>
  <si>
    <t>Amarnath Panjikar</t>
  </si>
  <si>
    <t>Panaji</t>
  </si>
  <si>
    <t>Sidharth Sripad Kuncalienker</t>
  </si>
  <si>
    <t xml:space="preserve">UGP       </t>
  </si>
  <si>
    <t>Atanasio J. Monserrate</t>
  </si>
  <si>
    <t>Taleigao</t>
  </si>
  <si>
    <t>Jennifer Monserrate</t>
  </si>
  <si>
    <t>Dattaprasad Naik</t>
  </si>
  <si>
    <t>St. Cruz</t>
  </si>
  <si>
    <t>Antonio Caetano  Fernandes</t>
  </si>
  <si>
    <t>Hemant Dinanath Golatkar</t>
  </si>
  <si>
    <t>St. Andre</t>
  </si>
  <si>
    <t>Francisco Silveira</t>
  </si>
  <si>
    <t>Ramrao Surya Naik Wagh</t>
  </si>
  <si>
    <t>Cumbarjua</t>
  </si>
  <si>
    <t>Pandurang Madkaikar</t>
  </si>
  <si>
    <t>Xavier Fialho</t>
  </si>
  <si>
    <t>Maem</t>
  </si>
  <si>
    <t>Pravin  Zantye</t>
  </si>
  <si>
    <t>Santosh Kumar Sawant</t>
  </si>
  <si>
    <t>Sanquelim</t>
  </si>
  <si>
    <t>Dr. Pramod Pandurang Sawant</t>
  </si>
  <si>
    <t>Dharmesh Saglani</t>
  </si>
  <si>
    <t>Poriem</t>
  </si>
  <si>
    <t>Pratapsingh R Rane</t>
  </si>
  <si>
    <t>Vishwajit Krishnarao Rane</t>
  </si>
  <si>
    <t>Valpoi</t>
  </si>
  <si>
    <t>Vishwajit Pratapsingh Rane</t>
  </si>
  <si>
    <t>Satyavijay Subrai Naik</t>
  </si>
  <si>
    <t>Priol</t>
  </si>
  <si>
    <t>Govind Gaude</t>
  </si>
  <si>
    <t>Pandurang Alias Deepak Madhav Dhavalikar</t>
  </si>
  <si>
    <t>Ponda</t>
  </si>
  <si>
    <t>Ravi Sitaram Naik</t>
  </si>
  <si>
    <t>Sunil Desai</t>
  </si>
  <si>
    <t>Siroda</t>
  </si>
  <si>
    <t>Subhash Ankush Shirodkar</t>
  </si>
  <si>
    <t>Mahadev Narayan Naik</t>
  </si>
  <si>
    <t>Marcaim</t>
  </si>
  <si>
    <t>Ramkrishna Alias Sudin Dhavalikar</t>
  </si>
  <si>
    <t>Pradeep Pundalik Shet</t>
  </si>
  <si>
    <t>Mormugao</t>
  </si>
  <si>
    <t>Milind Sagun Naik</t>
  </si>
  <si>
    <t>Sankalp Amonkar</t>
  </si>
  <si>
    <t>Vasco-da-gama</t>
  </si>
  <si>
    <t>Jose Luis Carlos Almeida</t>
  </si>
  <si>
    <t>Krishna (Daji) V Salkar</t>
  </si>
  <si>
    <t>Dabolim</t>
  </si>
  <si>
    <t>Mauvin Heliodoro Godinho</t>
  </si>
  <si>
    <t>Premanand Nanoskar</t>
  </si>
  <si>
    <t>Cortalim</t>
  </si>
  <si>
    <t>Alina Saldanha</t>
  </si>
  <si>
    <t>Antonio Vas</t>
  </si>
  <si>
    <t>Nuvem</t>
  </si>
  <si>
    <t>Wilfred D Sa</t>
  </si>
  <si>
    <t xml:space="preserve">GSRP      </t>
  </si>
  <si>
    <t>Francisco Xavier Pacheco</t>
  </si>
  <si>
    <t>Curtorim</t>
  </si>
  <si>
    <t>Aleixo Reginaldo Lourenco</t>
  </si>
  <si>
    <t>Arthur D’silva</t>
  </si>
  <si>
    <t>Fatorda</t>
  </si>
  <si>
    <t>Vijai Sardesai</t>
  </si>
  <si>
    <t>Damu G. Naik</t>
  </si>
  <si>
    <t>Margao</t>
  </si>
  <si>
    <t>Digambar Vasant Kamat</t>
  </si>
  <si>
    <t>Sharmad Raiturkar</t>
  </si>
  <si>
    <t>Benaulim</t>
  </si>
  <si>
    <t xml:space="preserve">NCP       </t>
  </si>
  <si>
    <t>Churchill Alemao</t>
  </si>
  <si>
    <t xml:space="preserve">AAAP      </t>
  </si>
  <si>
    <t>Royla Clarina Fernandes</t>
  </si>
  <si>
    <t>Navelim</t>
  </si>
  <si>
    <t>Luizinho Faleiro</t>
  </si>
  <si>
    <t>Avertano Furtado</t>
  </si>
  <si>
    <t xml:space="preserve">Cuncolim </t>
  </si>
  <si>
    <t>Clafasio Dias</t>
  </si>
  <si>
    <t>Joaquim Alemao</t>
  </si>
  <si>
    <t>Velim</t>
  </si>
  <si>
    <t>Filipe Nery Rodrigues</t>
  </si>
  <si>
    <t>Benjamin Silva</t>
  </si>
  <si>
    <t>Quepem</t>
  </si>
  <si>
    <t>Chandrakant (Babu) Kavlekar</t>
  </si>
  <si>
    <t>Prakash Shankar Velip</t>
  </si>
  <si>
    <t>Curchorem</t>
  </si>
  <si>
    <t>Nilesh Cabral</t>
  </si>
  <si>
    <t xml:space="preserve">GSM       </t>
  </si>
  <si>
    <t>Shyam Gopinath Satardekar</t>
  </si>
  <si>
    <t>Sanvordem</t>
  </si>
  <si>
    <t>Deepak Prabhu Pauskar</t>
  </si>
  <si>
    <t>Ganesh Chandru Gaonkar</t>
  </si>
  <si>
    <t>Sanguem</t>
  </si>
  <si>
    <t>Prasad S. Gaonkar</t>
  </si>
  <si>
    <t>Subhash Phal Dessai</t>
  </si>
  <si>
    <t>Canacona</t>
  </si>
  <si>
    <t>Isidore Aleixinho Fernandes</t>
  </si>
  <si>
    <t>Vijay Pai Khot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</si>
</sst>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opLeftCell="A37" workbookViewId="0">
      <selection activeCell="N8" sqref="N8"/>
    </sheetView>
  </sheetViews>
  <sheetFormatPr defaultRowHeight="15"/>
  <cols>
    <col min="2" max="2" width="28.5703125" customWidth="1"/>
    <col min="3" max="3" width="12.28515625" customWidth="1"/>
  </cols>
  <sheetData>
    <row r="1" spans="1:10" ht="18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t="s">
        <v>1</v>
      </c>
      <c r="B2" t="s">
        <v>2</v>
      </c>
    </row>
    <row r="4" spans="1:10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0">
      <c r="A5" t="s">
        <v>8</v>
      </c>
      <c r="D5">
        <v>8</v>
      </c>
      <c r="F5">
        <v>2</v>
      </c>
      <c r="H5">
        <v>0</v>
      </c>
      <c r="J5">
        <f>SUM(D5:F5:H5)</f>
        <v>10</v>
      </c>
    </row>
    <row r="6" spans="1:10">
      <c r="A6" t="s">
        <v>9</v>
      </c>
      <c r="D6">
        <v>1</v>
      </c>
      <c r="F6">
        <v>2</v>
      </c>
      <c r="H6">
        <v>0</v>
      </c>
      <c r="J6">
        <f>SUM(D6:F6:H6)</f>
        <v>3</v>
      </c>
    </row>
    <row r="7" spans="1:10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0">
      <c r="A8" t="s">
        <v>11</v>
      </c>
      <c r="D8">
        <f>D5-D6-D7</f>
        <v>7</v>
      </c>
      <c r="F8">
        <f>E5-E6-E7</f>
        <v>0</v>
      </c>
      <c r="H8">
        <f>F5-F6-F7</f>
        <v>0</v>
      </c>
      <c r="J8">
        <f>SUM(D8:F8:E8)</f>
        <v>7</v>
      </c>
    </row>
    <row r="9" spans="1:10">
      <c r="A9" t="s">
        <v>12</v>
      </c>
      <c r="D9">
        <v>5</v>
      </c>
      <c r="F9">
        <v>0</v>
      </c>
      <c r="H9">
        <v>0</v>
      </c>
      <c r="J9">
        <f>SUM(D9:F9:E9)</f>
        <v>5</v>
      </c>
    </row>
    <row r="11" spans="1:10">
      <c r="A11" t="s">
        <v>13</v>
      </c>
    </row>
    <row r="12" spans="1:10">
      <c r="B12" t="s">
        <v>14</v>
      </c>
      <c r="D12">
        <v>15679</v>
      </c>
      <c r="F12">
        <v>15683</v>
      </c>
      <c r="H12">
        <v>0</v>
      </c>
      <c r="J12">
        <f>SUM(D12:F12:H12)</f>
        <v>31362</v>
      </c>
    </row>
    <row r="13" spans="1:10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0">
      <c r="B14" t="s">
        <v>16</v>
      </c>
      <c r="D14">
        <v>5</v>
      </c>
      <c r="F14">
        <v>2</v>
      </c>
      <c r="H14">
        <v>0</v>
      </c>
      <c r="J14">
        <f>SUM(D14:F14:H14)</f>
        <v>7</v>
      </c>
    </row>
    <row r="15" spans="1:10">
      <c r="B15" t="s">
        <v>7</v>
      </c>
      <c r="D15">
        <f>SUM(D12:D13:D14)</f>
        <v>15684</v>
      </c>
      <c r="F15">
        <f>SUM(F12:F13:F14)</f>
        <v>15685</v>
      </c>
      <c r="H15">
        <f>SUM(H12:H13:H14)</f>
        <v>0</v>
      </c>
      <c r="J15">
        <f>SUM(D15:F15:H15)</f>
        <v>31369</v>
      </c>
    </row>
    <row r="17" spans="1:10">
      <c r="A17" t="s">
        <v>17</v>
      </c>
    </row>
    <row r="18" spans="1:10">
      <c r="B18" t="s">
        <v>14</v>
      </c>
      <c r="D18">
        <v>13286</v>
      </c>
      <c r="F18">
        <v>14125</v>
      </c>
      <c r="H18">
        <v>0</v>
      </c>
      <c r="J18">
        <f>SUM(D18:F18:H18)</f>
        <v>27411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660</v>
      </c>
    </row>
    <row r="22" spans="1:10">
      <c r="B22" t="s">
        <v>7</v>
      </c>
      <c r="J22">
        <f>SUM(J18:J19:J21)</f>
        <v>28071</v>
      </c>
    </row>
    <row r="23" spans="1:10">
      <c r="A23" t="s">
        <v>20</v>
      </c>
      <c r="J23">
        <f>J22/J15*100</f>
        <v>89.486435653033254</v>
      </c>
    </row>
    <row r="25" spans="1:10">
      <c r="A25" t="s">
        <v>21</v>
      </c>
    </row>
    <row r="26" spans="1:10">
      <c r="B26" t="s">
        <v>22</v>
      </c>
      <c r="C26">
        <v>105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J22-105</f>
        <v>27966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46</v>
      </c>
    </row>
    <row r="32" spans="1:10">
      <c r="B32" t="s">
        <v>27</v>
      </c>
      <c r="C32">
        <v>682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40</v>
      </c>
      <c r="G42">
        <v>16490</v>
      </c>
    </row>
    <row r="43" spans="1:7">
      <c r="B43" t="s">
        <v>41</v>
      </c>
      <c r="C43" t="s">
        <v>42</v>
      </c>
      <c r="E43" t="s">
        <v>43</v>
      </c>
      <c r="G43">
        <v>9371</v>
      </c>
    </row>
    <row r="44" spans="1:7">
      <c r="B44" t="s">
        <v>44</v>
      </c>
      <c r="C44">
        <v>7119</v>
      </c>
    </row>
  </sheetData>
  <mergeCells count="1">
    <mergeCell ref="A1:J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>
      <selection sqref="A1:L1"/>
    </sheetView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10</v>
      </c>
      <c r="F5">
        <v>0</v>
      </c>
      <c r="H5">
        <v>0</v>
      </c>
      <c r="J5">
        <f>SUM(D5:F5:H5)</f>
        <v>10</v>
      </c>
    </row>
    <row r="6" spans="1:12">
      <c r="A6" t="s">
        <v>9</v>
      </c>
      <c r="D6">
        <v>2</v>
      </c>
      <c r="F6">
        <v>0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8</v>
      </c>
      <c r="F8">
        <f>E5-E6-E7</f>
        <v>0</v>
      </c>
      <c r="H8">
        <f>F5-F6-F7</f>
        <v>0</v>
      </c>
      <c r="J8">
        <f>SUM(D8:F8:E8)</f>
        <v>8</v>
      </c>
    </row>
    <row r="9" spans="1:12">
      <c r="A9" t="s">
        <v>12</v>
      </c>
      <c r="D9">
        <v>6</v>
      </c>
      <c r="F9">
        <v>0</v>
      </c>
      <c r="H9">
        <v>0</v>
      </c>
      <c r="J9">
        <f>SUM(D9:F9:E9)</f>
        <v>6</v>
      </c>
    </row>
    <row r="11" spans="1:12">
      <c r="A11" t="s">
        <v>13</v>
      </c>
    </row>
    <row r="12" spans="1:12">
      <c r="B12" t="s">
        <v>14</v>
      </c>
      <c r="D12">
        <v>15857</v>
      </c>
      <c r="F12">
        <v>15490</v>
      </c>
      <c r="H12">
        <v>0</v>
      </c>
      <c r="J12">
        <f>SUM(D12:F12:H12)</f>
        <v>31347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12</v>
      </c>
      <c r="F14">
        <v>1</v>
      </c>
      <c r="H14">
        <v>0</v>
      </c>
      <c r="J14">
        <f>SUM(D14:F14:H14)</f>
        <v>13</v>
      </c>
    </row>
    <row r="15" spans="1:12">
      <c r="B15" t="s">
        <v>7</v>
      </c>
      <c r="D15">
        <f>SUM(D12:D13:D14)</f>
        <v>15869</v>
      </c>
      <c r="F15">
        <f>SUM(F12:F13:F14)</f>
        <v>15491</v>
      </c>
      <c r="H15">
        <f>SUM(H12:H13:H14)</f>
        <v>0</v>
      </c>
      <c r="J15">
        <f>SUM(D15:F15:H15)</f>
        <v>31360</v>
      </c>
    </row>
    <row r="17" spans="1:10">
      <c r="A17" t="s">
        <v>17</v>
      </c>
    </row>
    <row r="18" spans="1:10">
      <c r="B18" t="s">
        <v>14</v>
      </c>
      <c r="D18">
        <v>13508</v>
      </c>
      <c r="F18">
        <v>13655</v>
      </c>
      <c r="H18">
        <v>0</v>
      </c>
      <c r="J18">
        <f>SUM(D18:F18:H18)</f>
        <v>27163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658</v>
      </c>
    </row>
    <row r="22" spans="1:10">
      <c r="B22" t="s">
        <v>7</v>
      </c>
      <c r="J22">
        <f>SUM(J18:J19:J21)</f>
        <v>27821</v>
      </c>
    </row>
    <row r="23" spans="1:10">
      <c r="A23" t="s">
        <v>20</v>
      </c>
      <c r="J23">
        <f>J22/J15*100</f>
        <v>88.714923469387756</v>
      </c>
    </row>
    <row r="25" spans="1:10">
      <c r="A25" t="s">
        <v>21</v>
      </c>
    </row>
    <row r="26" spans="1:10">
      <c r="B26" t="s">
        <v>22</v>
      </c>
      <c r="C26">
        <v>91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J22-91</f>
        <v>27730</v>
      </c>
    </row>
    <row r="29" spans="1:10">
      <c r="B29" t="s">
        <v>25</v>
      </c>
      <c r="C29">
        <v>2</v>
      </c>
    </row>
    <row r="31" spans="1:10">
      <c r="A31" t="s">
        <v>26</v>
      </c>
      <c r="C31">
        <v>48</v>
      </c>
    </row>
    <row r="32" spans="1:10">
      <c r="B32" t="s">
        <v>27</v>
      </c>
      <c r="C32">
        <v>653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46</v>
      </c>
      <c r="E42" t="s">
        <v>47</v>
      </c>
      <c r="G42">
        <v>15745</v>
      </c>
    </row>
    <row r="43" spans="1:7">
      <c r="B43" t="s">
        <v>41</v>
      </c>
      <c r="C43" t="s">
        <v>42</v>
      </c>
      <c r="E43" t="s">
        <v>48</v>
      </c>
      <c r="G43">
        <v>9715</v>
      </c>
    </row>
    <row r="44" spans="1:7">
      <c r="B44" t="s">
        <v>44</v>
      </c>
      <c r="C44">
        <v>6030</v>
      </c>
    </row>
  </sheetData>
  <mergeCells count="1">
    <mergeCell ref="A1:L1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2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2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12935</v>
      </c>
      <c r="F12">
        <v>13016</v>
      </c>
      <c r="H12">
        <v>0</v>
      </c>
      <c r="J12">
        <f>SUM(D12:F12:H12)</f>
        <v>25951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5</v>
      </c>
      <c r="F14">
        <v>2</v>
      </c>
      <c r="H14">
        <v>0</v>
      </c>
      <c r="J14">
        <f>SUM(D14:F14:H14)</f>
        <v>7</v>
      </c>
    </row>
    <row r="15" spans="1:12">
      <c r="B15" t="s">
        <v>7</v>
      </c>
      <c r="D15">
        <f>SUM(D12:D13:D14)</f>
        <v>12940</v>
      </c>
      <c r="F15">
        <f>SUM(F12:F13:F14)</f>
        <v>13018</v>
      </c>
      <c r="H15">
        <f>SUM(H12:H13:H14)</f>
        <v>0</v>
      </c>
      <c r="J15">
        <f>SUM(D15:F15:H15)</f>
        <v>25958</v>
      </c>
    </row>
    <row r="17" spans="1:10">
      <c r="A17" t="s">
        <v>17</v>
      </c>
    </row>
    <row r="18" spans="1:10">
      <c r="B18" t="s">
        <v>14</v>
      </c>
      <c r="D18">
        <v>11194</v>
      </c>
      <c r="F18">
        <v>11677</v>
      </c>
      <c r="H18">
        <v>0</v>
      </c>
      <c r="J18">
        <f>SUM(D18:F18:H18)</f>
        <v>22871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481</v>
      </c>
    </row>
    <row r="22" spans="1:10">
      <c r="B22" t="s">
        <v>7</v>
      </c>
      <c r="J22">
        <f>SUM(J18:J19:J21)</f>
        <v>23352</v>
      </c>
    </row>
    <row r="23" spans="1:10">
      <c r="A23" t="s">
        <v>20</v>
      </c>
      <c r="J23">
        <f>J22/J15*100</f>
        <v>89.960705755451116</v>
      </c>
    </row>
    <row r="25" spans="1:10">
      <c r="A25" t="s">
        <v>21</v>
      </c>
    </row>
    <row r="26" spans="1:10">
      <c r="B26" t="s">
        <v>22</v>
      </c>
      <c r="C26">
        <v>46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J22-46</f>
        <v>23306</v>
      </c>
    </row>
    <row r="29" spans="1:10">
      <c r="B29" t="s">
        <v>25</v>
      </c>
      <c r="C29">
        <v>2</v>
      </c>
    </row>
    <row r="31" spans="1:10">
      <c r="A31" t="s">
        <v>26</v>
      </c>
      <c r="C31">
        <v>43</v>
      </c>
    </row>
    <row r="32" spans="1:10">
      <c r="B32" t="s">
        <v>27</v>
      </c>
      <c r="C32">
        <v>604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50</v>
      </c>
      <c r="G42">
        <v>10654</v>
      </c>
    </row>
    <row r="43" spans="1:7">
      <c r="B43" t="s">
        <v>41</v>
      </c>
      <c r="C43" t="s">
        <v>46</v>
      </c>
      <c r="E43" t="s">
        <v>51</v>
      </c>
      <c r="G43">
        <v>9988</v>
      </c>
    </row>
    <row r="44" spans="1:7">
      <c r="B44" t="s">
        <v>44</v>
      </c>
      <c r="C44">
        <v>666</v>
      </c>
    </row>
  </sheetData>
  <mergeCells count="1">
    <mergeCell ref="A1:L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11</v>
      </c>
      <c r="F5">
        <v>4</v>
      </c>
      <c r="H5">
        <v>0</v>
      </c>
      <c r="J5">
        <f>SUM(D5:F5:H5)</f>
        <v>15</v>
      </c>
    </row>
    <row r="6" spans="1:12">
      <c r="A6" t="s">
        <v>9</v>
      </c>
      <c r="D6">
        <v>7</v>
      </c>
      <c r="F6">
        <v>4</v>
      </c>
      <c r="H6">
        <v>0</v>
      </c>
      <c r="J6">
        <f>SUM(D6:F6:H6)</f>
        <v>11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13102</v>
      </c>
      <c r="F12">
        <v>13465</v>
      </c>
      <c r="H12">
        <v>0</v>
      </c>
      <c r="J12">
        <f>SUM(D12:F12:H12)</f>
        <v>26567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5</v>
      </c>
      <c r="F14">
        <v>3</v>
      </c>
      <c r="H14">
        <v>0</v>
      </c>
      <c r="J14">
        <f>SUM(D14:F14:H14)</f>
        <v>8</v>
      </c>
    </row>
    <row r="15" spans="1:12">
      <c r="B15" t="s">
        <v>7</v>
      </c>
      <c r="D15">
        <f>SUM(D12:D13:D14)</f>
        <v>13107</v>
      </c>
      <c r="F15">
        <f>SUM(F12:F13:F14)</f>
        <v>13468</v>
      </c>
      <c r="H15">
        <f>SUM(H12:H13:H14)</f>
        <v>0</v>
      </c>
      <c r="J15">
        <f>SUM(D15:F15:H15)</f>
        <v>26575</v>
      </c>
    </row>
    <row r="17" spans="1:10">
      <c r="A17" t="s">
        <v>17</v>
      </c>
    </row>
    <row r="18" spans="1:10">
      <c r="B18" t="s">
        <v>14</v>
      </c>
      <c r="D18">
        <v>10635</v>
      </c>
      <c r="F18">
        <v>11612</v>
      </c>
      <c r="H18">
        <v>0</v>
      </c>
      <c r="J18">
        <f>SUM(D18:F18:H18)</f>
        <v>22247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383</v>
      </c>
    </row>
    <row r="22" spans="1:10">
      <c r="B22" t="s">
        <v>7</v>
      </c>
      <c r="J22">
        <f>SUM(J18:J19:J21)</f>
        <v>22630</v>
      </c>
    </row>
    <row r="23" spans="1:10">
      <c r="A23" t="s">
        <v>20</v>
      </c>
      <c r="J23">
        <f>J22/J15*100</f>
        <v>85.155221072436504</v>
      </c>
    </row>
    <row r="25" spans="1:10">
      <c r="A25" t="s">
        <v>21</v>
      </c>
    </row>
    <row r="26" spans="1:10">
      <c r="B26" t="s">
        <v>22</v>
      </c>
      <c r="C26">
        <v>70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J22-70</f>
        <v>22560</v>
      </c>
    </row>
    <row r="29" spans="1:10">
      <c r="B29" t="s">
        <v>25</v>
      </c>
      <c r="C29">
        <v>2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699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53</v>
      </c>
      <c r="G42">
        <v>11099</v>
      </c>
    </row>
    <row r="43" spans="1:7">
      <c r="B43" t="s">
        <v>41</v>
      </c>
      <c r="C43" t="s">
        <v>42</v>
      </c>
      <c r="E43" t="s">
        <v>54</v>
      </c>
      <c r="G43">
        <v>10304</v>
      </c>
    </row>
    <row r="44" spans="1:7">
      <c r="B44" t="s">
        <v>44</v>
      </c>
      <c r="C44">
        <v>795</v>
      </c>
    </row>
  </sheetData>
  <mergeCells count="1">
    <mergeCell ref="A1:L1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4</v>
      </c>
      <c r="H5">
        <v>0</v>
      </c>
      <c r="J5">
        <f>SUM(D5:F5:H5)</f>
        <v>10</v>
      </c>
    </row>
    <row r="6" spans="1:12">
      <c r="A6" t="s">
        <v>9</v>
      </c>
      <c r="D6">
        <v>1</v>
      </c>
      <c r="F6">
        <v>2</v>
      </c>
      <c r="H6">
        <v>0</v>
      </c>
      <c r="J6">
        <f>SUM(D6:F6:H6)</f>
        <v>3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2</v>
      </c>
      <c r="J8">
        <f>SUM(D8:F8:E8)</f>
        <v>5</v>
      </c>
    </row>
    <row r="9" spans="1:12">
      <c r="A9" t="s">
        <v>12</v>
      </c>
      <c r="D9">
        <v>3</v>
      </c>
      <c r="F9">
        <v>2</v>
      </c>
      <c r="H9">
        <v>0</v>
      </c>
      <c r="J9">
        <f>SUM(D9:F9:E9)</f>
        <v>5</v>
      </c>
    </row>
    <row r="11" spans="1:12">
      <c r="A11" t="s">
        <v>13</v>
      </c>
    </row>
    <row r="12" spans="1:12">
      <c r="B12" t="s">
        <v>14</v>
      </c>
      <c r="D12">
        <v>14215</v>
      </c>
      <c r="F12">
        <v>14592</v>
      </c>
      <c r="H12">
        <v>0</v>
      </c>
      <c r="J12">
        <f>SUM(D12:F12:H12)</f>
        <v>28807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</v>
      </c>
      <c r="F14">
        <v>0</v>
      </c>
      <c r="H14">
        <v>0</v>
      </c>
      <c r="J14">
        <f>SUM(D14:F14:H14)</f>
        <v>1</v>
      </c>
    </row>
    <row r="15" spans="1:12">
      <c r="B15" t="s">
        <v>7</v>
      </c>
      <c r="D15">
        <f>SUM(D12:D13:D14)</f>
        <v>14216</v>
      </c>
      <c r="F15">
        <f>SUM(F12:F13:F14)</f>
        <v>14592</v>
      </c>
      <c r="H15">
        <f>SUM(H12:H13:H14)</f>
        <v>0</v>
      </c>
      <c r="J15">
        <f>SUM(D15:F15:H15)</f>
        <v>28808</v>
      </c>
    </row>
    <row r="17" spans="1:10">
      <c r="A17" t="s">
        <v>17</v>
      </c>
    </row>
    <row r="18" spans="1:10">
      <c r="B18" t="s">
        <v>14</v>
      </c>
      <c r="D18">
        <v>11018</v>
      </c>
      <c r="F18">
        <v>11549</v>
      </c>
      <c r="H18">
        <v>0</v>
      </c>
      <c r="J18">
        <f>SUM(D18:F18:H18)</f>
        <v>22567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210</v>
      </c>
    </row>
    <row r="22" spans="1:10">
      <c r="B22" t="s">
        <v>7</v>
      </c>
      <c r="J22">
        <f>SUM(J18:J19:J21)</f>
        <v>22777</v>
      </c>
    </row>
    <row r="23" spans="1:10">
      <c r="A23" t="s">
        <v>20</v>
      </c>
      <c r="J23">
        <f>J22/J15*100</f>
        <v>79.064843099139125</v>
      </c>
    </row>
    <row r="25" spans="1:10">
      <c r="A25" t="s">
        <v>21</v>
      </c>
    </row>
    <row r="26" spans="1:10">
      <c r="B26" t="s">
        <v>22</v>
      </c>
      <c r="C26">
        <v>13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J22-13</f>
        <v>22764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42</v>
      </c>
    </row>
    <row r="32" spans="1:10">
      <c r="B32" t="s">
        <v>27</v>
      </c>
      <c r="C32">
        <v>686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56</v>
      </c>
      <c r="G42">
        <v>10957</v>
      </c>
    </row>
    <row r="43" spans="1:7">
      <c r="B43" t="s">
        <v>41</v>
      </c>
      <c r="C43" t="s">
        <v>46</v>
      </c>
      <c r="E43" t="s">
        <v>57</v>
      </c>
      <c r="G43">
        <v>4129</v>
      </c>
    </row>
    <row r="44" spans="1:7">
      <c r="B44" t="s">
        <v>44</v>
      </c>
      <c r="C44">
        <v>6828</v>
      </c>
    </row>
  </sheetData>
  <mergeCells count="1">
    <mergeCell ref="A1:L1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11</v>
      </c>
      <c r="F5">
        <v>0</v>
      </c>
      <c r="H5">
        <v>0</v>
      </c>
      <c r="J5">
        <f>SUM(D5:F5:H5)</f>
        <v>11</v>
      </c>
    </row>
    <row r="6" spans="1:12">
      <c r="A6" t="s">
        <v>9</v>
      </c>
      <c r="D6">
        <v>3</v>
      </c>
      <c r="F6">
        <v>0</v>
      </c>
      <c r="H6">
        <v>0</v>
      </c>
      <c r="J6">
        <f>SUM(D6:F6:H6)</f>
        <v>3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8</v>
      </c>
      <c r="F8">
        <f>E5-E6-E7</f>
        <v>0</v>
      </c>
      <c r="H8">
        <f>F5-F6-F7</f>
        <v>0</v>
      </c>
      <c r="J8">
        <f>SUM(D8:F8:E8)</f>
        <v>8</v>
      </c>
    </row>
    <row r="9" spans="1:12">
      <c r="A9" t="s">
        <v>12</v>
      </c>
      <c r="D9">
        <v>6</v>
      </c>
      <c r="F9">
        <v>0</v>
      </c>
      <c r="H9">
        <v>0</v>
      </c>
      <c r="J9">
        <f>SUM(D9:F9:E9)</f>
        <v>6</v>
      </c>
    </row>
    <row r="11" spans="1:12">
      <c r="A11" t="s">
        <v>13</v>
      </c>
    </row>
    <row r="12" spans="1:12">
      <c r="B12" t="s">
        <v>14</v>
      </c>
      <c r="D12">
        <v>13704</v>
      </c>
      <c r="F12">
        <v>14457</v>
      </c>
      <c r="H12">
        <v>0</v>
      </c>
      <c r="J12">
        <f>SUM(D12:F12:H12)</f>
        <v>28161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9</v>
      </c>
      <c r="F14">
        <v>1</v>
      </c>
      <c r="H14">
        <v>0</v>
      </c>
      <c r="J14">
        <f>SUM(D14:F14:H14)</f>
        <v>10</v>
      </c>
    </row>
    <row r="15" spans="1:12">
      <c r="B15" t="s">
        <v>7</v>
      </c>
      <c r="D15">
        <f>SUM(D12:D13:D14)</f>
        <v>13713</v>
      </c>
      <c r="F15">
        <f>SUM(F12:F13:F14)</f>
        <v>14458</v>
      </c>
      <c r="H15">
        <f>SUM(H12:H13:H14)</f>
        <v>0</v>
      </c>
      <c r="J15">
        <f>SUM(D15:F15:H15)</f>
        <v>28171</v>
      </c>
    </row>
    <row r="17" spans="1:10">
      <c r="A17" t="s">
        <v>17</v>
      </c>
    </row>
    <row r="18" spans="1:10">
      <c r="B18" t="s">
        <v>14</v>
      </c>
      <c r="D18">
        <v>11084</v>
      </c>
      <c r="F18">
        <v>12137</v>
      </c>
      <c r="H18">
        <v>0</v>
      </c>
      <c r="J18">
        <f>SUM(D18:F18:H18)</f>
        <v>23221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312</v>
      </c>
    </row>
    <row r="22" spans="1:10">
      <c r="B22" t="s">
        <v>7</v>
      </c>
      <c r="J22">
        <f>SUM(J18:J19:J21)</f>
        <v>23533</v>
      </c>
    </row>
    <row r="23" spans="1:10">
      <c r="A23" t="s">
        <v>20</v>
      </c>
      <c r="J23">
        <f>J22/J15*100</f>
        <v>83.536260693621102</v>
      </c>
    </row>
    <row r="25" spans="1:10">
      <c r="A25" t="s">
        <v>21</v>
      </c>
    </row>
    <row r="26" spans="1:10">
      <c r="B26" t="s">
        <v>22</v>
      </c>
      <c r="C26">
        <v>37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J22-37</f>
        <v>23496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44</v>
      </c>
    </row>
    <row r="32" spans="1:10">
      <c r="B32" t="s">
        <v>27</v>
      </c>
      <c r="C32">
        <v>640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59</v>
      </c>
      <c r="E42" t="s">
        <v>60</v>
      </c>
      <c r="G42">
        <v>10189</v>
      </c>
    </row>
    <row r="43" spans="1:7">
      <c r="B43" t="s">
        <v>41</v>
      </c>
      <c r="C43" t="s">
        <v>42</v>
      </c>
      <c r="E43" t="s">
        <v>61</v>
      </c>
      <c r="G43">
        <v>8748</v>
      </c>
    </row>
    <row r="44" spans="1:7">
      <c r="B44" t="s">
        <v>44</v>
      </c>
      <c r="C44">
        <v>1441</v>
      </c>
    </row>
  </sheetData>
  <mergeCells count="1">
    <mergeCell ref="A1:L1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1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1</v>
      </c>
      <c r="H6">
        <v>0</v>
      </c>
      <c r="J6">
        <f>SUM(D6:F6:H6)</f>
        <v>1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12820</v>
      </c>
      <c r="F12">
        <v>13140</v>
      </c>
      <c r="H12">
        <v>0</v>
      </c>
      <c r="J12">
        <f>SUM(D12:F12:H12)</f>
        <v>25960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60</v>
      </c>
      <c r="F14">
        <v>16</v>
      </c>
      <c r="H14">
        <v>0</v>
      </c>
      <c r="J14">
        <f>SUM(D14:F14:H14)</f>
        <v>76</v>
      </c>
    </row>
    <row r="15" spans="1:12">
      <c r="B15" t="s">
        <v>7</v>
      </c>
      <c r="D15">
        <f>SUM(D12:D13:D14)</f>
        <v>12880</v>
      </c>
      <c r="F15">
        <f>SUM(F12:F13:F14)</f>
        <v>13156</v>
      </c>
      <c r="H15">
        <f>SUM(H12:H13:H14)</f>
        <v>0</v>
      </c>
      <c r="J15">
        <f>SUM(D15:F15:H15)</f>
        <v>26036</v>
      </c>
    </row>
    <row r="17" spans="1:10">
      <c r="A17" t="s">
        <v>17</v>
      </c>
    </row>
    <row r="18" spans="1:10">
      <c r="B18" t="s">
        <v>14</v>
      </c>
      <c r="D18">
        <v>10099</v>
      </c>
      <c r="F18">
        <v>10742</v>
      </c>
      <c r="H18">
        <v>0</v>
      </c>
      <c r="J18">
        <f>SUM(D18:F18:H18)</f>
        <v>20841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210</v>
      </c>
    </row>
    <row r="22" spans="1:10">
      <c r="B22" t="s">
        <v>7</v>
      </c>
      <c r="J22">
        <f>SUM(J18:J19:J21)</f>
        <v>21051</v>
      </c>
    </row>
    <row r="23" spans="1:10">
      <c r="A23" t="s">
        <v>20</v>
      </c>
      <c r="J23">
        <f>J22/J15*100</f>
        <v>80.853433707174688</v>
      </c>
    </row>
    <row r="25" spans="1:10">
      <c r="A25" t="s">
        <v>21</v>
      </c>
    </row>
    <row r="26" spans="1:10">
      <c r="B26" t="s">
        <v>22</v>
      </c>
      <c r="C26">
        <v>23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J22-23</f>
        <v>21028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666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59</v>
      </c>
      <c r="E42" t="s">
        <v>63</v>
      </c>
      <c r="G42">
        <v>9735</v>
      </c>
    </row>
    <row r="43" spans="1:7">
      <c r="B43" t="s">
        <v>41</v>
      </c>
      <c r="C43" t="s">
        <v>42</v>
      </c>
      <c r="E43" t="s">
        <v>64</v>
      </c>
      <c r="G43">
        <v>7598</v>
      </c>
    </row>
    <row r="44" spans="1:7">
      <c r="B44" t="s">
        <v>44</v>
      </c>
      <c r="C44">
        <v>2137</v>
      </c>
    </row>
  </sheetData>
  <mergeCells count="1">
    <mergeCell ref="A1:L1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1</v>
      </c>
      <c r="H5">
        <v>0</v>
      </c>
      <c r="J5">
        <f>SUM(D5:F5:H5)</f>
        <v>7</v>
      </c>
    </row>
    <row r="6" spans="1:12">
      <c r="A6" t="s">
        <v>9</v>
      </c>
      <c r="D6">
        <v>2</v>
      </c>
      <c r="F6">
        <v>1</v>
      </c>
      <c r="H6">
        <v>3</v>
      </c>
      <c r="J6">
        <f>SUM(D6:F6:H6)</f>
        <v>6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12028</v>
      </c>
      <c r="F12">
        <v>12510</v>
      </c>
      <c r="H12">
        <v>0</v>
      </c>
      <c r="J12">
        <f>SUM(D12:F12:H12)</f>
        <v>24538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</v>
      </c>
      <c r="F14">
        <v>1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12030</v>
      </c>
      <c r="F15">
        <f>SUM(F12:F13:F14)</f>
        <v>12511</v>
      </c>
      <c r="H15">
        <f>SUM(H12:H13:H14)</f>
        <v>0</v>
      </c>
      <c r="J15">
        <f>SUM(D15:F15:H15)</f>
        <v>24541</v>
      </c>
    </row>
    <row r="17" spans="1:10">
      <c r="A17" t="s">
        <v>17</v>
      </c>
    </row>
    <row r="18" spans="1:10">
      <c r="B18" t="s">
        <v>14</v>
      </c>
      <c r="D18">
        <v>9529</v>
      </c>
      <c r="F18">
        <v>10467</v>
      </c>
      <c r="H18">
        <v>0</v>
      </c>
      <c r="J18">
        <f>SUM(D18:F18:H18)</f>
        <v>19996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121</v>
      </c>
    </row>
    <row r="22" spans="1:10">
      <c r="B22" t="s">
        <v>7</v>
      </c>
      <c r="J22">
        <f>SUM(J18:J19:J21)</f>
        <v>20117</v>
      </c>
    </row>
    <row r="23" spans="1:10">
      <c r="A23" t="s">
        <v>20</v>
      </c>
      <c r="J23">
        <f>J22/J15*100</f>
        <v>81.973024734118411</v>
      </c>
    </row>
    <row r="25" spans="1:10">
      <c r="A25" t="s">
        <v>21</v>
      </c>
    </row>
    <row r="26" spans="1:10">
      <c r="B26" t="s">
        <v>22</v>
      </c>
      <c r="C26">
        <v>30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J22-30</f>
        <v>20087</v>
      </c>
    </row>
    <row r="29" spans="1:10">
      <c r="B29" t="s">
        <v>25</v>
      </c>
      <c r="C29">
        <v>1</v>
      </c>
    </row>
    <row r="31" spans="1:10">
      <c r="A31" t="s">
        <v>26</v>
      </c>
      <c r="C31">
        <v>34</v>
      </c>
    </row>
    <row r="32" spans="1:10">
      <c r="B32" t="s">
        <v>27</v>
      </c>
      <c r="C32">
        <v>722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66</v>
      </c>
      <c r="G42">
        <v>11136</v>
      </c>
    </row>
    <row r="43" spans="1:7">
      <c r="B43" t="s">
        <v>41</v>
      </c>
      <c r="C43" t="s">
        <v>39</v>
      </c>
      <c r="E43" t="s">
        <v>67</v>
      </c>
      <c r="G43">
        <v>7311</v>
      </c>
    </row>
    <row r="44" spans="1:7">
      <c r="B44" t="s">
        <v>44</v>
      </c>
      <c r="C44">
        <v>3825</v>
      </c>
    </row>
  </sheetData>
  <mergeCells count="1">
    <mergeCell ref="A1:L1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1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1</v>
      </c>
      <c r="H7">
        <v>0</v>
      </c>
      <c r="J7">
        <f>SUM(D7:F7:H7)</f>
        <v>1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11985</v>
      </c>
      <c r="F12">
        <v>12338</v>
      </c>
      <c r="H12">
        <v>0</v>
      </c>
      <c r="J12">
        <f>SUM(D12:F12:H12)</f>
        <v>24323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17</v>
      </c>
      <c r="F14">
        <v>6</v>
      </c>
      <c r="H14">
        <v>0</v>
      </c>
      <c r="J14">
        <f>SUM(D14:F14:H14)</f>
        <v>23</v>
      </c>
    </row>
    <row r="15" spans="1:12">
      <c r="B15" t="s">
        <v>7</v>
      </c>
      <c r="D15">
        <f>SUM(D12:D13:D14)</f>
        <v>12002</v>
      </c>
      <c r="F15">
        <f>SUM(F12:F13:F14)</f>
        <v>12344</v>
      </c>
      <c r="H15">
        <f>SUM(H12:H13:H14)</f>
        <v>0</v>
      </c>
      <c r="J15">
        <f>SUM(D15:F15:H15)</f>
        <v>24346</v>
      </c>
    </row>
    <row r="17" spans="1:10">
      <c r="A17" t="s">
        <v>17</v>
      </c>
    </row>
    <row r="18" spans="1:10">
      <c r="B18" t="s">
        <v>14</v>
      </c>
      <c r="D18">
        <v>9313</v>
      </c>
      <c r="F18">
        <v>10076</v>
      </c>
      <c r="H18">
        <v>0</v>
      </c>
      <c r="J18">
        <f>SUM(D18:F18:H18)</f>
        <v>19389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310</v>
      </c>
    </row>
    <row r="22" spans="1:10">
      <c r="B22" t="s">
        <v>7</v>
      </c>
      <c r="J22">
        <f>SUM(J18:J19:J21)</f>
        <v>19699</v>
      </c>
    </row>
    <row r="23" spans="1:10">
      <c r="A23" t="s">
        <v>20</v>
      </c>
      <c r="J23">
        <f>J22/J15*100</f>
        <v>80.912675593526657</v>
      </c>
    </row>
    <row r="25" spans="1:10">
      <c r="A25" t="s">
        <v>21</v>
      </c>
    </row>
    <row r="26" spans="1:10">
      <c r="B26" t="s">
        <v>22</v>
      </c>
      <c r="C26">
        <v>43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J22-43</f>
        <v>19656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640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69</v>
      </c>
      <c r="E42" t="s">
        <v>70</v>
      </c>
      <c r="G42">
        <v>11174</v>
      </c>
    </row>
    <row r="43" spans="1:7">
      <c r="B43" t="s">
        <v>41</v>
      </c>
      <c r="C43" t="s">
        <v>42</v>
      </c>
      <c r="E43" t="s">
        <v>71</v>
      </c>
      <c r="G43">
        <v>6961</v>
      </c>
    </row>
    <row r="44" spans="1:7">
      <c r="B44" t="s">
        <v>44</v>
      </c>
      <c r="C44">
        <v>4213</v>
      </c>
    </row>
  </sheetData>
  <mergeCells count="1">
    <mergeCell ref="A1:L1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1</v>
      </c>
      <c r="H5">
        <v>0</v>
      </c>
      <c r="J5">
        <f>SUM(D5:F5:H5)</f>
        <v>8</v>
      </c>
    </row>
    <row r="6" spans="1:12">
      <c r="A6" t="s">
        <v>9</v>
      </c>
      <c r="D6">
        <v>2</v>
      </c>
      <c r="F6">
        <v>0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1</v>
      </c>
      <c r="J8">
        <f>SUM(D8:F8:E8)</f>
        <v>5</v>
      </c>
    </row>
    <row r="9" spans="1:12">
      <c r="A9" t="s">
        <v>12</v>
      </c>
      <c r="D9">
        <v>3</v>
      </c>
      <c r="F9">
        <v>1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13226</v>
      </c>
      <c r="F12">
        <v>14205</v>
      </c>
      <c r="H12">
        <v>0</v>
      </c>
      <c r="J12">
        <f>SUM(D12:F12:H12)</f>
        <v>27431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</v>
      </c>
      <c r="F14">
        <v>1</v>
      </c>
      <c r="H14">
        <v>0</v>
      </c>
      <c r="J14">
        <f>SUM(D14:F14:H14)</f>
        <v>8</v>
      </c>
    </row>
    <row r="15" spans="1:12">
      <c r="B15" t="s">
        <v>7</v>
      </c>
      <c r="D15">
        <f>SUM(D12:D13:D14)</f>
        <v>13233</v>
      </c>
      <c r="F15">
        <f>SUM(F12:F13:F14)</f>
        <v>14206</v>
      </c>
      <c r="H15">
        <f>SUM(H12:H13:H14)</f>
        <v>0</v>
      </c>
      <c r="J15">
        <f>SUM(D15:F15:H15)</f>
        <v>27439</v>
      </c>
    </row>
    <row r="17" spans="1:10">
      <c r="A17" t="s">
        <v>17</v>
      </c>
    </row>
    <row r="18" spans="1:10">
      <c r="B18" t="s">
        <v>14</v>
      </c>
      <c r="D18">
        <v>9913</v>
      </c>
      <c r="F18">
        <v>11503</v>
      </c>
      <c r="H18">
        <v>0</v>
      </c>
      <c r="J18">
        <f>SUM(D18:F18:H18)</f>
        <v>21416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233</v>
      </c>
    </row>
    <row r="22" spans="1:10">
      <c r="B22" t="s">
        <v>7</v>
      </c>
      <c r="J22">
        <f>SUM(J18:J19:J21)</f>
        <v>21649</v>
      </c>
    </row>
    <row r="23" spans="1:10">
      <c r="A23" t="s">
        <v>20</v>
      </c>
      <c r="J23">
        <f>J22/J15*100</f>
        <v>78.898647909909258</v>
      </c>
    </row>
    <row r="25" spans="1:10">
      <c r="A25" t="s">
        <v>21</v>
      </c>
    </row>
    <row r="26" spans="1:10">
      <c r="B26" t="s">
        <v>22</v>
      </c>
      <c r="C26">
        <v>43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J22-43</f>
        <v>21606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41</v>
      </c>
    </row>
    <row r="32" spans="1:10">
      <c r="B32" t="s">
        <v>27</v>
      </c>
      <c r="C32">
        <v>669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73</v>
      </c>
      <c r="G42">
        <v>9405</v>
      </c>
    </row>
    <row r="43" spans="1:7">
      <c r="B43" t="s">
        <v>41</v>
      </c>
      <c r="C43" t="s">
        <v>39</v>
      </c>
      <c r="E43" t="s">
        <v>74</v>
      </c>
      <c r="G43">
        <v>4949</v>
      </c>
    </row>
    <row r="44" spans="1:7">
      <c r="B44" t="s">
        <v>44</v>
      </c>
      <c r="C44">
        <v>4456</v>
      </c>
    </row>
  </sheetData>
  <mergeCells count="1">
    <mergeCell ref="A1:L1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14</v>
      </c>
      <c r="F5">
        <v>0</v>
      </c>
      <c r="H5">
        <v>0</v>
      </c>
      <c r="J5">
        <f>SUM(D5:F5:H5)</f>
        <v>14</v>
      </c>
    </row>
    <row r="6" spans="1:12">
      <c r="A6" t="s">
        <v>9</v>
      </c>
      <c r="D6">
        <v>7</v>
      </c>
      <c r="F6">
        <v>0</v>
      </c>
      <c r="H6">
        <v>0</v>
      </c>
      <c r="J6">
        <f>SUM(D6:F6:H6)</f>
        <v>7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0</v>
      </c>
      <c r="J8">
        <f>SUM(D8:F8:E8)</f>
        <v>7</v>
      </c>
    </row>
    <row r="9" spans="1:12">
      <c r="A9" t="s">
        <v>12</v>
      </c>
      <c r="D9">
        <v>5</v>
      </c>
      <c r="F9">
        <v>0</v>
      </c>
      <c r="H9">
        <v>0</v>
      </c>
      <c r="J9">
        <f>SUM(D9:F9:E9)</f>
        <v>5</v>
      </c>
    </row>
    <row r="11" spans="1:12">
      <c r="A11" t="s">
        <v>13</v>
      </c>
    </row>
    <row r="12" spans="1:12">
      <c r="B12" t="s">
        <v>14</v>
      </c>
      <c r="D12">
        <v>10648</v>
      </c>
      <c r="F12">
        <v>11555</v>
      </c>
      <c r="H12">
        <v>0</v>
      </c>
      <c r="J12">
        <f>SUM(D12:F12:H12)</f>
        <v>22203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0</v>
      </c>
      <c r="F14">
        <v>0</v>
      </c>
      <c r="H14">
        <v>0</v>
      </c>
      <c r="J14">
        <f>SUM(D14:F14:H14)</f>
        <v>0</v>
      </c>
    </row>
    <row r="15" spans="1:12">
      <c r="B15" t="s">
        <v>7</v>
      </c>
      <c r="D15">
        <f>SUM(D12:D13:D14)</f>
        <v>10648</v>
      </c>
      <c r="F15">
        <f>SUM(F12:F13:F14)</f>
        <v>11555</v>
      </c>
      <c r="H15">
        <f>SUM(H12:H13:H14)</f>
        <v>0</v>
      </c>
      <c r="J15">
        <f>SUM(D15:F15:H15)</f>
        <v>22203</v>
      </c>
    </row>
    <row r="17" spans="1:10">
      <c r="A17" t="s">
        <v>17</v>
      </c>
    </row>
    <row r="18" spans="1:10">
      <c r="B18" t="s">
        <v>14</v>
      </c>
      <c r="D18">
        <v>8117</v>
      </c>
      <c r="F18">
        <v>8992</v>
      </c>
      <c r="H18">
        <v>0</v>
      </c>
      <c r="J18">
        <f>SUM(D18:F18:H18)</f>
        <v>17109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294</v>
      </c>
    </row>
    <row r="22" spans="1:10">
      <c r="B22" t="s">
        <v>7</v>
      </c>
      <c r="J22">
        <f>SUM(J18:J19:J21)</f>
        <v>17403</v>
      </c>
    </row>
    <row r="23" spans="1:10">
      <c r="A23" t="s">
        <v>20</v>
      </c>
      <c r="J23">
        <f>J22/J15*100</f>
        <v>78.381299824348062</v>
      </c>
    </row>
    <row r="25" spans="1:10">
      <c r="A25" t="s">
        <v>21</v>
      </c>
    </row>
    <row r="26" spans="1:10">
      <c r="B26" t="s">
        <v>22</v>
      </c>
      <c r="C26">
        <v>63</v>
      </c>
    </row>
    <row r="27" spans="1:10">
      <c r="B27" t="s">
        <v>23</v>
      </c>
      <c r="C27">
        <v>1</v>
      </c>
    </row>
    <row r="28" spans="1:10">
      <c r="B28" t="s">
        <v>24</v>
      </c>
      <c r="C28">
        <f>J22-64</f>
        <v>17339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30</v>
      </c>
    </row>
    <row r="32" spans="1:10">
      <c r="B32" t="s">
        <v>27</v>
      </c>
      <c r="C32">
        <v>740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76</v>
      </c>
      <c r="G42">
        <v>7924</v>
      </c>
    </row>
    <row r="43" spans="1:7">
      <c r="B43" t="s">
        <v>41</v>
      </c>
      <c r="C43" t="s">
        <v>77</v>
      </c>
      <c r="E43" t="s">
        <v>78</v>
      </c>
      <c r="G43">
        <v>6855</v>
      </c>
    </row>
    <row r="44" spans="1:7">
      <c r="B44" t="s">
        <v>44</v>
      </c>
      <c r="C44">
        <v>1069</v>
      </c>
    </row>
  </sheetData>
  <mergeCells count="1">
    <mergeCell ref="A1:L1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2</v>
      </c>
      <c r="F5">
        <v>3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1</v>
      </c>
      <c r="H6">
        <v>0</v>
      </c>
      <c r="J6">
        <f>SUM(D6:F6:H6)</f>
        <v>1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2</v>
      </c>
      <c r="F8">
        <f>E5-E6-E7</f>
        <v>0</v>
      </c>
      <c r="H8">
        <f>F5-F6-F7</f>
        <v>2</v>
      </c>
      <c r="J8">
        <f>SUM(D8:F8:E8)</f>
        <v>2</v>
      </c>
    </row>
    <row r="9" spans="1:12">
      <c r="A9" t="s">
        <v>12</v>
      </c>
      <c r="D9">
        <v>1</v>
      </c>
      <c r="F9">
        <v>1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13405</v>
      </c>
      <c r="F12">
        <v>14454</v>
      </c>
      <c r="H12">
        <v>0</v>
      </c>
      <c r="J12">
        <f>SUM(D12:F12:H12)</f>
        <v>27859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</v>
      </c>
      <c r="F14">
        <v>1</v>
      </c>
      <c r="H14">
        <v>0</v>
      </c>
      <c r="J14">
        <f>SUM(D14:F14:H14)</f>
        <v>5</v>
      </c>
    </row>
    <row r="15" spans="1:12">
      <c r="B15" t="s">
        <v>7</v>
      </c>
      <c r="D15">
        <f>SUM(D12:D13:D14)</f>
        <v>13409</v>
      </c>
      <c r="F15">
        <f>SUM(F12:F13:F14)</f>
        <v>14455</v>
      </c>
      <c r="H15">
        <f>SUM(H12:H13:H14)</f>
        <v>0</v>
      </c>
      <c r="J15">
        <f>SUM(D15:F15:H15)</f>
        <v>27864</v>
      </c>
    </row>
    <row r="17" spans="1:10">
      <c r="A17" t="s">
        <v>17</v>
      </c>
    </row>
    <row r="18" spans="1:10">
      <c r="B18" t="s">
        <v>14</v>
      </c>
      <c r="D18">
        <v>10434</v>
      </c>
      <c r="F18">
        <v>11814</v>
      </c>
      <c r="H18">
        <v>0</v>
      </c>
      <c r="J18">
        <f>SUM(D18:F18:H18)</f>
        <v>22248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347</v>
      </c>
    </row>
    <row r="22" spans="1:10">
      <c r="B22" t="s">
        <v>7</v>
      </c>
      <c r="J22">
        <f>SUM(J18:J19:J21)</f>
        <v>22595</v>
      </c>
    </row>
    <row r="23" spans="1:10">
      <c r="A23" t="s">
        <v>20</v>
      </c>
      <c r="J23">
        <f>J22/J15*100</f>
        <v>81.090295722078665</v>
      </c>
    </row>
    <row r="25" spans="1:10">
      <c r="A25" t="s">
        <v>21</v>
      </c>
    </row>
    <row r="26" spans="1:10">
      <c r="B26" t="s">
        <v>22</v>
      </c>
      <c r="C26">
        <v>39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J22-39</f>
        <v>22556</v>
      </c>
    </row>
    <row r="29" spans="1:10">
      <c r="B29" t="s">
        <v>25</v>
      </c>
      <c r="C29">
        <v>1</v>
      </c>
    </row>
    <row r="31" spans="1:10">
      <c r="A31" t="s">
        <v>26</v>
      </c>
      <c r="C31">
        <v>41</v>
      </c>
    </row>
    <row r="32" spans="1:10">
      <c r="B32" t="s">
        <v>27</v>
      </c>
      <c r="C32">
        <v>679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80</v>
      </c>
      <c r="G42">
        <v>11534</v>
      </c>
    </row>
    <row r="43" spans="1:7">
      <c r="B43" t="s">
        <v>41</v>
      </c>
      <c r="C43" t="s">
        <v>42</v>
      </c>
      <c r="E43" t="s">
        <v>81</v>
      </c>
      <c r="G43">
        <v>8679</v>
      </c>
    </row>
    <row r="44" spans="1:7">
      <c r="B44" t="s">
        <v>44</v>
      </c>
      <c r="C44">
        <v>2855</v>
      </c>
    </row>
  </sheetData>
  <mergeCells count="1">
    <mergeCell ref="A1:L1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82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8</v>
      </c>
      <c r="F5">
        <v>4</v>
      </c>
      <c r="H5">
        <v>0</v>
      </c>
      <c r="J5">
        <f>SUM(D5:F5:H5)</f>
        <v>12</v>
      </c>
    </row>
    <row r="6" spans="1:12">
      <c r="A6" t="s">
        <v>9</v>
      </c>
      <c r="D6">
        <v>0</v>
      </c>
      <c r="F6">
        <v>2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1</v>
      </c>
      <c r="H7">
        <v>0</v>
      </c>
      <c r="J7">
        <f>SUM(D7:F7:H7)</f>
        <v>1</v>
      </c>
    </row>
    <row r="8" spans="1:12">
      <c r="A8" t="s">
        <v>11</v>
      </c>
      <c r="D8">
        <f>D5-D6-D7</f>
        <v>8</v>
      </c>
      <c r="F8">
        <f>E5-E6-E7</f>
        <v>0</v>
      </c>
      <c r="H8">
        <f>F5-F6-F7</f>
        <v>1</v>
      </c>
      <c r="J8">
        <f>SUM(D8:F8:E8)</f>
        <v>8</v>
      </c>
    </row>
    <row r="9" spans="1:12">
      <c r="A9" t="s">
        <v>12</v>
      </c>
      <c r="D9">
        <v>5</v>
      </c>
      <c r="F9">
        <v>1</v>
      </c>
      <c r="H9">
        <v>0</v>
      </c>
      <c r="J9">
        <f>SUM(D9:F9:E9)</f>
        <v>6</v>
      </c>
    </row>
    <row r="11" spans="1:12">
      <c r="A11" t="s">
        <v>13</v>
      </c>
    </row>
    <row r="12" spans="1:12">
      <c r="B12" t="s">
        <v>14</v>
      </c>
      <c r="D12">
        <v>13457</v>
      </c>
      <c r="F12">
        <v>14251</v>
      </c>
      <c r="H12">
        <v>0</v>
      </c>
      <c r="J12">
        <f>SUM(D12:F12:H12)</f>
        <v>27708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</v>
      </c>
      <c r="F14">
        <v>1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13459</v>
      </c>
      <c r="F15">
        <f>SUM(F12:F13:F14)</f>
        <v>14252</v>
      </c>
      <c r="H15">
        <f>SUM(H12:H13:H14)</f>
        <v>0</v>
      </c>
      <c r="J15">
        <f>SUM(D15:F15:H15)</f>
        <v>27711</v>
      </c>
    </row>
    <row r="17" spans="1:10">
      <c r="A17" t="s">
        <v>17</v>
      </c>
    </row>
    <row r="18" spans="1:10">
      <c r="B18" t="s">
        <v>14</v>
      </c>
      <c r="D18">
        <v>10430</v>
      </c>
      <c r="F18">
        <v>11507</v>
      </c>
      <c r="H18">
        <v>0</v>
      </c>
      <c r="J18">
        <f>SUM(D18:F18:H18)</f>
        <v>21937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323</v>
      </c>
    </row>
    <row r="22" spans="1:10">
      <c r="B22" t="s">
        <v>7</v>
      </c>
      <c r="J22">
        <f>SUM(J18:J19:J21)</f>
        <v>22260</v>
      </c>
    </row>
    <row r="23" spans="1:10">
      <c r="A23" t="s">
        <v>20</v>
      </c>
      <c r="J23">
        <f>J22/J15*100</f>
        <v>80.329111183284624</v>
      </c>
    </row>
    <row r="25" spans="1:10">
      <c r="A25" t="s">
        <v>21</v>
      </c>
    </row>
    <row r="26" spans="1:10">
      <c r="B26" t="s">
        <v>22</v>
      </c>
      <c r="C26">
        <v>45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J22-45</f>
        <v>22215</v>
      </c>
    </row>
    <row r="29" spans="1:10">
      <c r="B29" t="s">
        <v>25</v>
      </c>
      <c r="C29">
        <v>1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710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83</v>
      </c>
      <c r="G42">
        <v>6202</v>
      </c>
    </row>
    <row r="43" spans="1:7">
      <c r="B43" t="s">
        <v>41</v>
      </c>
      <c r="C43" t="s">
        <v>42</v>
      </c>
      <c r="E43" t="s">
        <v>84</v>
      </c>
      <c r="G43">
        <v>5560</v>
      </c>
    </row>
    <row r="44" spans="1:7">
      <c r="B44" t="s">
        <v>44</v>
      </c>
      <c r="C44">
        <v>642</v>
      </c>
    </row>
  </sheetData>
  <mergeCells count="1">
    <mergeCell ref="A1:L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85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12</v>
      </c>
      <c r="F5">
        <v>3</v>
      </c>
      <c r="H5">
        <v>0</v>
      </c>
      <c r="J5">
        <f>SUM(D5:F5:H5)</f>
        <v>15</v>
      </c>
    </row>
    <row r="6" spans="1:12">
      <c r="A6" t="s">
        <v>9</v>
      </c>
      <c r="D6">
        <v>1</v>
      </c>
      <c r="F6">
        <v>2</v>
      </c>
      <c r="H6">
        <v>0</v>
      </c>
      <c r="J6">
        <f>SUM(D6:F6:H6)</f>
        <v>3</v>
      </c>
    </row>
    <row r="7" spans="1:12">
      <c r="A7" t="s">
        <v>10</v>
      </c>
      <c r="D7">
        <v>1</v>
      </c>
      <c r="F7">
        <v>1</v>
      </c>
      <c r="H7">
        <v>0</v>
      </c>
      <c r="J7">
        <f>SUM(D7:F7:H7)</f>
        <v>2</v>
      </c>
    </row>
    <row r="8" spans="1:12">
      <c r="A8" t="s">
        <v>11</v>
      </c>
      <c r="D8">
        <f>D5-D6-D7</f>
        <v>10</v>
      </c>
      <c r="F8">
        <f>E5-E6-E7</f>
        <v>0</v>
      </c>
      <c r="H8">
        <f>F5-F6-F7</f>
        <v>0</v>
      </c>
      <c r="J8">
        <f>SUM(D8:F8:E8)</f>
        <v>10</v>
      </c>
    </row>
    <row r="9" spans="1:12">
      <c r="A9" t="s">
        <v>12</v>
      </c>
      <c r="D9">
        <v>8</v>
      </c>
      <c r="F9">
        <v>0</v>
      </c>
      <c r="H9">
        <v>0</v>
      </c>
      <c r="J9">
        <f>SUM(D9:F9:E9)</f>
        <v>8</v>
      </c>
    </row>
    <row r="11" spans="1:12">
      <c r="A11" t="s">
        <v>13</v>
      </c>
    </row>
    <row r="12" spans="1:12">
      <c r="B12" t="s">
        <v>14</v>
      </c>
      <c r="D12">
        <v>9732</v>
      </c>
      <c r="F12">
        <v>11209</v>
      </c>
      <c r="H12">
        <v>0</v>
      </c>
      <c r="J12">
        <f>SUM(D12:F12:H12)</f>
        <v>20941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</v>
      </c>
      <c r="F14">
        <v>1</v>
      </c>
      <c r="H14">
        <v>0</v>
      </c>
      <c r="J14">
        <f>SUM(D14:F14:H14)</f>
        <v>7</v>
      </c>
    </row>
    <row r="15" spans="1:12">
      <c r="B15" t="s">
        <v>7</v>
      </c>
      <c r="D15">
        <f>SUM(D12:D13:D14)</f>
        <v>9738</v>
      </c>
      <c r="F15">
        <f>SUM(F12:F13:F14)</f>
        <v>11210</v>
      </c>
      <c r="H15">
        <f>SUM(H12:H13:H14)</f>
        <v>0</v>
      </c>
      <c r="J15">
        <f>SUM(D15:F15:H15)</f>
        <v>20948</v>
      </c>
    </row>
    <row r="17" spans="1:10">
      <c r="A17" t="s">
        <v>17</v>
      </c>
    </row>
    <row r="18" spans="1:10">
      <c r="B18" t="s">
        <v>14</v>
      </c>
      <c r="D18">
        <v>7273</v>
      </c>
      <c r="F18">
        <v>9078</v>
      </c>
      <c r="H18">
        <v>0</v>
      </c>
      <c r="J18">
        <f>SUM(D18:F18:H18)</f>
        <v>16351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205</v>
      </c>
    </row>
    <row r="22" spans="1:10">
      <c r="B22" t="s">
        <v>7</v>
      </c>
      <c r="J22">
        <f>SUM(J18:J19:J21)</f>
        <v>16556</v>
      </c>
    </row>
    <row r="23" spans="1:10">
      <c r="A23" t="s">
        <v>20</v>
      </c>
      <c r="J23">
        <f>J22/J15*100</f>
        <v>79.033797975940416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16554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37</v>
      </c>
    </row>
    <row r="32" spans="1:10">
      <c r="B32" t="s">
        <v>27</v>
      </c>
      <c r="C32">
        <v>566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86</v>
      </c>
      <c r="G42">
        <v>8087</v>
      </c>
    </row>
    <row r="43" spans="1:7">
      <c r="B43" t="s">
        <v>41</v>
      </c>
      <c r="C43" t="s">
        <v>42</v>
      </c>
      <c r="E43" t="s">
        <v>87</v>
      </c>
      <c r="G43">
        <v>3017</v>
      </c>
    </row>
    <row r="44" spans="1:7">
      <c r="B44" t="s">
        <v>44</v>
      </c>
      <c r="C44">
        <v>5070</v>
      </c>
    </row>
  </sheetData>
  <mergeCells count="1">
    <mergeCell ref="A1:L1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88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2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2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12148</v>
      </c>
      <c r="F12">
        <v>12904</v>
      </c>
      <c r="H12">
        <v>0</v>
      </c>
      <c r="J12">
        <f>SUM(D12:F12:H12)</f>
        <v>25052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</v>
      </c>
      <c r="F14">
        <v>1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12150</v>
      </c>
      <c r="F15">
        <f>SUM(F12:F13:F14)</f>
        <v>12905</v>
      </c>
      <c r="H15">
        <f>SUM(H12:H13:H14)</f>
        <v>0</v>
      </c>
      <c r="J15">
        <f>SUM(D15:F15:H15)</f>
        <v>25055</v>
      </c>
    </row>
    <row r="17" spans="1:10">
      <c r="A17" t="s">
        <v>17</v>
      </c>
    </row>
    <row r="18" spans="1:10">
      <c r="B18" t="s">
        <v>14</v>
      </c>
      <c r="D18">
        <v>9467</v>
      </c>
      <c r="F18">
        <v>10838</v>
      </c>
      <c r="H18">
        <v>0</v>
      </c>
      <c r="J18">
        <f>SUM(D18:F18:H18)</f>
        <v>20305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291</v>
      </c>
    </row>
    <row r="22" spans="1:10">
      <c r="B22" t="s">
        <v>7</v>
      </c>
      <c r="J22">
        <f>SUM(J18:J19:J21)</f>
        <v>20596</v>
      </c>
    </row>
    <row r="23" spans="1:10">
      <c r="A23" t="s">
        <v>20</v>
      </c>
      <c r="J23">
        <f>J22/J15*100</f>
        <v>82.203153063260828</v>
      </c>
    </row>
    <row r="25" spans="1:10">
      <c r="A25" t="s">
        <v>21</v>
      </c>
    </row>
    <row r="26" spans="1:10">
      <c r="B26" t="s">
        <v>22</v>
      </c>
      <c r="C26">
        <v>40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J22-40</f>
        <v>20556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642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89</v>
      </c>
      <c r="G42">
        <v>12395</v>
      </c>
    </row>
    <row r="43" spans="1:7">
      <c r="B43" t="s">
        <v>41</v>
      </c>
      <c r="C43" t="s">
        <v>39</v>
      </c>
      <c r="E43" t="s">
        <v>90</v>
      </c>
      <c r="G43">
        <v>3961</v>
      </c>
    </row>
    <row r="44" spans="1:7">
      <c r="B44" t="s">
        <v>44</v>
      </c>
      <c r="C44">
        <v>8434</v>
      </c>
    </row>
  </sheetData>
  <mergeCells count="1">
    <mergeCell ref="A1:L1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12</v>
      </c>
      <c r="F5">
        <v>1</v>
      </c>
      <c r="H5">
        <v>0</v>
      </c>
      <c r="J5">
        <f>SUM(D5:F5:H5)</f>
        <v>13</v>
      </c>
    </row>
    <row r="6" spans="1:12">
      <c r="A6" t="s">
        <v>9</v>
      </c>
      <c r="D6">
        <v>3</v>
      </c>
      <c r="F6">
        <v>1</v>
      </c>
      <c r="H6">
        <v>0</v>
      </c>
      <c r="J6">
        <f>SUM(D6:F6:H6)</f>
        <v>4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8</v>
      </c>
      <c r="F8">
        <f>E5-E6-E7</f>
        <v>0</v>
      </c>
      <c r="H8">
        <f>F5-F6-F7</f>
        <v>0</v>
      </c>
      <c r="J8">
        <f>SUM(D8:F8:E8)</f>
        <v>8</v>
      </c>
    </row>
    <row r="9" spans="1:12">
      <c r="A9" t="s">
        <v>12</v>
      </c>
      <c r="D9">
        <v>6</v>
      </c>
      <c r="F9">
        <v>0</v>
      </c>
      <c r="H9">
        <v>0</v>
      </c>
      <c r="J9">
        <f>SUM(D9:F9:E9)</f>
        <v>6</v>
      </c>
    </row>
    <row r="11" spans="1:12">
      <c r="A11" t="s">
        <v>13</v>
      </c>
    </row>
    <row r="12" spans="1:12">
      <c r="B12" t="s">
        <v>14</v>
      </c>
      <c r="D12">
        <v>13376</v>
      </c>
      <c r="F12">
        <v>13718</v>
      </c>
      <c r="H12">
        <v>0</v>
      </c>
      <c r="J12">
        <f>SUM(D12:F12:H12)</f>
        <v>27094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</v>
      </c>
      <c r="F14">
        <v>1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13378</v>
      </c>
      <c r="F15">
        <f>SUM(F12:F13:F14)</f>
        <v>13719</v>
      </c>
      <c r="H15">
        <f>SUM(H12:H13:H14)</f>
        <v>0</v>
      </c>
      <c r="J15">
        <f>SUM(D15:F15:H15)</f>
        <v>27097</v>
      </c>
    </row>
    <row r="17" spans="1:10">
      <c r="A17" t="s">
        <v>17</v>
      </c>
    </row>
    <row r="18" spans="1:10">
      <c r="B18" t="s">
        <v>14</v>
      </c>
      <c r="D18">
        <v>11592</v>
      </c>
      <c r="F18">
        <v>12174</v>
      </c>
      <c r="H18">
        <v>0</v>
      </c>
      <c r="J18">
        <f>SUM(D18:F18:H18)</f>
        <v>23766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383</v>
      </c>
    </row>
    <row r="22" spans="1:10">
      <c r="B22" t="s">
        <v>7</v>
      </c>
      <c r="J22">
        <f>SUM(J18:J19:J21)</f>
        <v>24149</v>
      </c>
    </row>
    <row r="23" spans="1:10">
      <c r="A23" t="s">
        <v>20</v>
      </c>
      <c r="J23">
        <f>J22/J15*100</f>
        <v>89.120566852419088</v>
      </c>
    </row>
    <row r="25" spans="1:10">
      <c r="A25" t="s">
        <v>21</v>
      </c>
    </row>
    <row r="26" spans="1:10">
      <c r="B26" t="s">
        <v>22</v>
      </c>
      <c r="C26">
        <v>41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J22-41</f>
        <v>24108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44</v>
      </c>
    </row>
    <row r="32" spans="1:10">
      <c r="B32" t="s">
        <v>27</v>
      </c>
      <c r="C32">
        <v>616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92</v>
      </c>
      <c r="G42">
        <v>12430</v>
      </c>
    </row>
    <row r="43" spans="1:7">
      <c r="B43" t="s">
        <v>41</v>
      </c>
      <c r="C43" t="s">
        <v>39</v>
      </c>
      <c r="E43" t="s">
        <v>93</v>
      </c>
      <c r="G43">
        <v>7456</v>
      </c>
    </row>
    <row r="44" spans="1:7">
      <c r="B44" t="s">
        <v>44</v>
      </c>
      <c r="C44">
        <v>4974</v>
      </c>
    </row>
  </sheetData>
  <mergeCells count="1">
    <mergeCell ref="A1:L1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8</v>
      </c>
      <c r="F5">
        <v>4</v>
      </c>
      <c r="H5">
        <v>0</v>
      </c>
      <c r="J5">
        <f>SUM(D5:F5:H5)</f>
        <v>12</v>
      </c>
    </row>
    <row r="6" spans="1:12">
      <c r="A6" t="s">
        <v>9</v>
      </c>
      <c r="D6">
        <v>0</v>
      </c>
      <c r="F6">
        <v>4</v>
      </c>
      <c r="H6">
        <v>0</v>
      </c>
      <c r="J6">
        <f>SUM(D6:F6:H6)</f>
        <v>4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0</v>
      </c>
      <c r="J8">
        <f>SUM(D8:F8:E8)</f>
        <v>7</v>
      </c>
    </row>
    <row r="9" spans="1:12">
      <c r="A9" t="s">
        <v>12</v>
      </c>
      <c r="D9">
        <v>5</v>
      </c>
      <c r="F9">
        <v>0</v>
      </c>
      <c r="H9">
        <v>0</v>
      </c>
      <c r="J9">
        <f>SUM(D9:F9:E9)</f>
        <v>5</v>
      </c>
    </row>
    <row r="11" spans="1:12">
      <c r="A11" t="s">
        <v>13</v>
      </c>
    </row>
    <row r="12" spans="1:12">
      <c r="B12" t="s">
        <v>14</v>
      </c>
      <c r="D12">
        <v>13032</v>
      </c>
      <c r="F12">
        <v>13173</v>
      </c>
      <c r="H12">
        <v>0</v>
      </c>
      <c r="J12">
        <f>SUM(D12:F12:H12)</f>
        <v>26205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</v>
      </c>
      <c r="F14">
        <v>1</v>
      </c>
      <c r="H14">
        <v>0</v>
      </c>
      <c r="J14">
        <f>SUM(D14:F14:H14)</f>
        <v>2</v>
      </c>
    </row>
    <row r="15" spans="1:12">
      <c r="B15" t="s">
        <v>7</v>
      </c>
      <c r="D15">
        <f>SUM(D12:D13:D14)</f>
        <v>13033</v>
      </c>
      <c r="F15">
        <f>SUM(F12:F13:F14)</f>
        <v>13174</v>
      </c>
      <c r="H15">
        <f>SUM(H12:H13:H14)</f>
        <v>0</v>
      </c>
      <c r="J15">
        <f>SUM(D15:F15:H15)</f>
        <v>26207</v>
      </c>
    </row>
    <row r="17" spans="1:10">
      <c r="A17" t="s">
        <v>17</v>
      </c>
    </row>
    <row r="18" spans="1:10">
      <c r="B18" t="s">
        <v>14</v>
      </c>
      <c r="D18">
        <v>11494</v>
      </c>
      <c r="F18">
        <v>11860</v>
      </c>
      <c r="H18">
        <v>0</v>
      </c>
      <c r="J18">
        <f>SUM(D18:F18:H18)</f>
        <v>23354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391</v>
      </c>
    </row>
    <row r="22" spans="1:10">
      <c r="B22" t="s">
        <v>7</v>
      </c>
      <c r="J22">
        <f>SUM(J18:J19:J21)</f>
        <v>23745</v>
      </c>
    </row>
    <row r="23" spans="1:10">
      <c r="A23" t="s">
        <v>20</v>
      </c>
      <c r="J23">
        <f>J22/J15*100</f>
        <v>90.605563399091849</v>
      </c>
    </row>
    <row r="25" spans="1:10">
      <c r="A25" t="s">
        <v>21</v>
      </c>
    </row>
    <row r="26" spans="1:10">
      <c r="B26" t="s">
        <v>22</v>
      </c>
      <c r="C26">
        <v>45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J22-45</f>
        <v>23700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50</v>
      </c>
    </row>
    <row r="32" spans="1:10">
      <c r="B32" t="s">
        <v>27</v>
      </c>
      <c r="C32">
        <v>524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95</v>
      </c>
      <c r="G42">
        <v>10058</v>
      </c>
    </row>
    <row r="43" spans="1:7">
      <c r="B43" t="s">
        <v>41</v>
      </c>
      <c r="C43" t="s">
        <v>39</v>
      </c>
      <c r="E43" t="s">
        <v>96</v>
      </c>
      <c r="G43">
        <v>7927</v>
      </c>
    </row>
    <row r="44" spans="1:7">
      <c r="B44" t="s">
        <v>44</v>
      </c>
      <c r="C44">
        <v>2131</v>
      </c>
    </row>
  </sheetData>
  <mergeCells count="1">
    <mergeCell ref="A1:L1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1</v>
      </c>
      <c r="H5">
        <v>0</v>
      </c>
      <c r="J5">
        <f>SUM(D5:F5:H5)</f>
        <v>8</v>
      </c>
    </row>
    <row r="6" spans="1:12">
      <c r="A6" t="s">
        <v>9</v>
      </c>
      <c r="D6">
        <v>1</v>
      </c>
      <c r="F6">
        <v>1</v>
      </c>
      <c r="H6">
        <v>0</v>
      </c>
      <c r="J6">
        <f>SUM(D6:F6:H6)</f>
        <v>2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15401</v>
      </c>
      <c r="F12">
        <v>15277</v>
      </c>
      <c r="H12">
        <v>0</v>
      </c>
      <c r="J12">
        <f>SUM(D12:F12:H12)</f>
        <v>30678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16</v>
      </c>
      <c r="F14">
        <v>0</v>
      </c>
      <c r="H14">
        <v>0</v>
      </c>
      <c r="J14">
        <f>SUM(D14:F14:H14)</f>
        <v>16</v>
      </c>
    </row>
    <row r="15" spans="1:12">
      <c r="B15" t="s">
        <v>7</v>
      </c>
      <c r="D15">
        <f>SUM(D12:D13:D14)</f>
        <v>15417</v>
      </c>
      <c r="F15">
        <f>SUM(F12:F13:F14)</f>
        <v>15277</v>
      </c>
      <c r="H15">
        <f>SUM(H12:H13:H14)</f>
        <v>0</v>
      </c>
      <c r="J15">
        <f>SUM(D15:F15:H15)</f>
        <v>30694</v>
      </c>
    </row>
    <row r="17" spans="1:10">
      <c r="A17" t="s">
        <v>17</v>
      </c>
    </row>
    <row r="18" spans="1:10">
      <c r="B18" t="s">
        <v>14</v>
      </c>
      <c r="D18">
        <v>13396</v>
      </c>
      <c r="F18">
        <v>13612</v>
      </c>
      <c r="H18">
        <v>0</v>
      </c>
      <c r="J18">
        <f>SUM(D18:F18:H18)</f>
        <v>27008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699</v>
      </c>
    </row>
    <row r="22" spans="1:10">
      <c r="B22" t="s">
        <v>7</v>
      </c>
      <c r="J22">
        <f>SUM(J18:J19:J21)</f>
        <v>27707</v>
      </c>
    </row>
    <row r="23" spans="1:10">
      <c r="A23" t="s">
        <v>20</v>
      </c>
      <c r="J23">
        <f>J22/J15*100</f>
        <v>90.268456375838923</v>
      </c>
    </row>
    <row r="25" spans="1:10">
      <c r="A25" t="s">
        <v>21</v>
      </c>
    </row>
    <row r="26" spans="1:10">
      <c r="B26" t="s">
        <v>22</v>
      </c>
      <c r="C26">
        <v>111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J22-111</f>
        <v>27596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55</v>
      </c>
    </row>
    <row r="32" spans="1:10">
      <c r="B32" t="s">
        <v>27</v>
      </c>
      <c r="C32">
        <v>558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98</v>
      </c>
      <c r="G42">
        <v>14977</v>
      </c>
    </row>
    <row r="43" spans="1:7">
      <c r="B43" t="s">
        <v>41</v>
      </c>
      <c r="C43" t="s">
        <v>42</v>
      </c>
      <c r="E43" t="s">
        <v>99</v>
      </c>
      <c r="G43">
        <v>10911</v>
      </c>
    </row>
    <row r="44" spans="1:7">
      <c r="B44" t="s">
        <v>44</v>
      </c>
      <c r="C44">
        <v>4066</v>
      </c>
    </row>
  </sheetData>
  <mergeCells count="1">
    <mergeCell ref="A1:L1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2</v>
      </c>
      <c r="H5">
        <v>0</v>
      </c>
      <c r="J5">
        <f>SUM(D5:F5:H5)</f>
        <v>8</v>
      </c>
    </row>
    <row r="6" spans="1:12">
      <c r="A6" t="s">
        <v>9</v>
      </c>
      <c r="D6">
        <v>2</v>
      </c>
      <c r="F6">
        <v>2</v>
      </c>
      <c r="H6">
        <v>0</v>
      </c>
      <c r="J6">
        <f>SUM(D6:F6:H6)</f>
        <v>4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14326</v>
      </c>
      <c r="F12">
        <v>14503</v>
      </c>
      <c r="H12">
        <v>0</v>
      </c>
      <c r="J12">
        <f>SUM(D12:F12:H12)</f>
        <v>28829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</v>
      </c>
      <c r="F14">
        <v>0</v>
      </c>
      <c r="H14">
        <v>0</v>
      </c>
      <c r="J14">
        <f>SUM(D14:F14:H14)</f>
        <v>6</v>
      </c>
    </row>
    <row r="15" spans="1:12">
      <c r="B15" t="s">
        <v>7</v>
      </c>
      <c r="D15">
        <f>SUM(D12:D13:D14)</f>
        <v>14332</v>
      </c>
      <c r="F15">
        <f>SUM(F12:F13:F14)</f>
        <v>14503</v>
      </c>
      <c r="H15">
        <f>SUM(H12:H13:H14)</f>
        <v>0</v>
      </c>
      <c r="J15">
        <f>SUM(D15:F15:H15)</f>
        <v>28835</v>
      </c>
    </row>
    <row r="17" spans="1:10">
      <c r="A17" t="s">
        <v>17</v>
      </c>
    </row>
    <row r="18" spans="1:10">
      <c r="B18" t="s">
        <v>14</v>
      </c>
      <c r="D18">
        <v>12131</v>
      </c>
      <c r="F18">
        <v>12745</v>
      </c>
      <c r="H18">
        <v>0</v>
      </c>
      <c r="J18">
        <f>SUM(D18:F18:H18)</f>
        <v>24876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506</v>
      </c>
    </row>
    <row r="22" spans="1:10">
      <c r="B22" t="s">
        <v>7</v>
      </c>
      <c r="J22">
        <f>SUM(J18:J19:J21)</f>
        <v>25382</v>
      </c>
    </row>
    <row r="23" spans="1:10">
      <c r="A23" t="s">
        <v>20</v>
      </c>
      <c r="J23">
        <f>J22/J15*100</f>
        <v>88.024969654933244</v>
      </c>
    </row>
    <row r="25" spans="1:10">
      <c r="A25" t="s">
        <v>21</v>
      </c>
    </row>
    <row r="26" spans="1:10">
      <c r="B26" t="s">
        <v>22</v>
      </c>
      <c r="C26">
        <v>56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J22-56</f>
        <v>25326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46</v>
      </c>
    </row>
    <row r="32" spans="1:10">
      <c r="B32" t="s">
        <v>27</v>
      </c>
      <c r="C32">
        <v>627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101</v>
      </c>
      <c r="G42">
        <v>13493</v>
      </c>
    </row>
    <row r="43" spans="1:7">
      <c r="B43" t="s">
        <v>41</v>
      </c>
      <c r="C43" t="s">
        <v>42</v>
      </c>
      <c r="E43" t="s">
        <v>102</v>
      </c>
      <c r="G43">
        <v>7815</v>
      </c>
    </row>
    <row r="44" spans="1:7">
      <c r="B44" t="s">
        <v>44</v>
      </c>
      <c r="C44">
        <v>5678</v>
      </c>
    </row>
  </sheetData>
  <mergeCells count="1">
    <mergeCell ref="A1:L1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1</v>
      </c>
      <c r="F6">
        <v>0</v>
      </c>
      <c r="H6">
        <v>1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14562</v>
      </c>
      <c r="F12">
        <v>14998</v>
      </c>
      <c r="H12">
        <v>0</v>
      </c>
      <c r="J12">
        <f>SUM(D12:F12:H12)</f>
        <v>29560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8</v>
      </c>
      <c r="F14">
        <v>0</v>
      </c>
      <c r="H14">
        <v>0</v>
      </c>
      <c r="J14">
        <f>SUM(D14:F14:H14)</f>
        <v>8</v>
      </c>
    </row>
    <row r="15" spans="1:12">
      <c r="B15" t="s">
        <v>7</v>
      </c>
      <c r="D15">
        <f>SUM(D12:D13:D14)</f>
        <v>14570</v>
      </c>
      <c r="F15">
        <f>SUM(F12:F13:F14)</f>
        <v>14998</v>
      </c>
      <c r="H15">
        <f>SUM(H12:H13:H14)</f>
        <v>0</v>
      </c>
      <c r="J15">
        <f>SUM(D15:F15:H15)</f>
        <v>29568</v>
      </c>
    </row>
    <row r="17" spans="1:10">
      <c r="A17" t="s">
        <v>17</v>
      </c>
    </row>
    <row r="18" spans="1:10">
      <c r="B18" t="s">
        <v>14</v>
      </c>
      <c r="D18">
        <v>12860</v>
      </c>
      <c r="F18">
        <v>13520</v>
      </c>
      <c r="H18">
        <v>0</v>
      </c>
      <c r="J18">
        <f>SUM(D18:F18:H18)</f>
        <v>26380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601</v>
      </c>
    </row>
    <row r="22" spans="1:10">
      <c r="B22" t="s">
        <v>7</v>
      </c>
      <c r="J22">
        <f>SUM(J18:J19:J21)</f>
        <v>26981</v>
      </c>
    </row>
    <row r="23" spans="1:10">
      <c r="A23" t="s">
        <v>20</v>
      </c>
      <c r="J23">
        <f>J22/J15*100</f>
        <v>91.250676406926416</v>
      </c>
    </row>
    <row r="25" spans="1:10">
      <c r="A25" t="s">
        <v>21</v>
      </c>
    </row>
    <row r="26" spans="1:10">
      <c r="B26" t="s">
        <v>22</v>
      </c>
      <c r="C26">
        <v>35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J22-35</f>
        <v>26946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44</v>
      </c>
    </row>
    <row r="32" spans="1:10">
      <c r="B32" t="s">
        <v>27</v>
      </c>
      <c r="C32">
        <v>672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69</v>
      </c>
      <c r="E42" t="s">
        <v>104</v>
      </c>
      <c r="G42">
        <v>15149</v>
      </c>
    </row>
    <row r="43" spans="1:7">
      <c r="B43" t="s">
        <v>41</v>
      </c>
      <c r="C43" t="s">
        <v>46</v>
      </c>
      <c r="E43" t="s">
        <v>105</v>
      </c>
      <c r="G43">
        <v>10463</v>
      </c>
    </row>
    <row r="44" spans="1:7">
      <c r="B44" t="s">
        <v>44</v>
      </c>
      <c r="C44">
        <v>4686</v>
      </c>
    </row>
  </sheetData>
  <mergeCells count="1">
    <mergeCell ref="A1:L1"/>
  </mergeCell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106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10</v>
      </c>
      <c r="F5">
        <v>0</v>
      </c>
      <c r="H5">
        <v>0</v>
      </c>
      <c r="J5">
        <f>SUM(D5:F5:H5)</f>
        <v>10</v>
      </c>
    </row>
    <row r="6" spans="1:12">
      <c r="A6" t="s">
        <v>9</v>
      </c>
      <c r="D6">
        <v>5</v>
      </c>
      <c r="F6">
        <v>0</v>
      </c>
      <c r="H6">
        <v>0</v>
      </c>
      <c r="J6">
        <f>SUM(D6:F6:H6)</f>
        <v>5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15710</v>
      </c>
      <c r="F12">
        <v>14843</v>
      </c>
      <c r="H12">
        <v>0</v>
      </c>
      <c r="J12">
        <f>SUM(D12:F12:H12)</f>
        <v>30553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10</v>
      </c>
      <c r="F14">
        <v>5</v>
      </c>
      <c r="H14">
        <v>0</v>
      </c>
      <c r="J14">
        <f>SUM(D14:F14:H14)</f>
        <v>15</v>
      </c>
    </row>
    <row r="15" spans="1:12">
      <c r="B15" t="s">
        <v>7</v>
      </c>
      <c r="D15">
        <f>SUM(D12:D13:D14)</f>
        <v>15720</v>
      </c>
      <c r="F15">
        <f>SUM(F12:F13:F14)</f>
        <v>14848</v>
      </c>
      <c r="H15">
        <f>SUM(H12:H13:H14)</f>
        <v>0</v>
      </c>
      <c r="J15">
        <f>SUM(D15:F15:H15)</f>
        <v>30568</v>
      </c>
    </row>
    <row r="17" spans="1:10">
      <c r="A17" t="s">
        <v>17</v>
      </c>
    </row>
    <row r="18" spans="1:10">
      <c r="B18" t="s">
        <v>14</v>
      </c>
      <c r="D18">
        <v>12419</v>
      </c>
      <c r="F18">
        <v>12211</v>
      </c>
      <c r="H18">
        <v>0</v>
      </c>
      <c r="J18">
        <f>SUM(D18:F18:H18)</f>
        <v>24630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504</v>
      </c>
    </row>
    <row r="22" spans="1:10">
      <c r="B22" t="s">
        <v>7</v>
      </c>
      <c r="J22">
        <f>SUM(J18:J19:J21)</f>
        <v>25134</v>
      </c>
    </row>
    <row r="23" spans="1:10">
      <c r="A23" t="s">
        <v>20</v>
      </c>
      <c r="J23">
        <f>J22/J15*100</f>
        <v>82.223239989531535</v>
      </c>
    </row>
    <row r="25" spans="1:10">
      <c r="A25" t="s">
        <v>21</v>
      </c>
    </row>
    <row r="26" spans="1:10">
      <c r="B26" t="s">
        <v>22</v>
      </c>
      <c r="C26">
        <v>39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J22-39</f>
        <v>25095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43</v>
      </c>
    </row>
    <row r="32" spans="1:10">
      <c r="B32" t="s">
        <v>27</v>
      </c>
      <c r="C32">
        <v>711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107</v>
      </c>
      <c r="G42">
        <v>9502</v>
      </c>
    </row>
    <row r="43" spans="1:7">
      <c r="B43" t="s">
        <v>41</v>
      </c>
      <c r="C43" t="s">
        <v>42</v>
      </c>
      <c r="E43" t="s">
        <v>108</v>
      </c>
      <c r="G43">
        <v>6492</v>
      </c>
    </row>
    <row r="44" spans="1:7">
      <c r="B44" t="s">
        <v>44</v>
      </c>
      <c r="C44">
        <v>3010</v>
      </c>
    </row>
  </sheetData>
  <mergeCells count="1">
    <mergeCell ref="A1:L1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2</v>
      </c>
      <c r="H5">
        <v>0</v>
      </c>
      <c r="J5">
        <f>SUM(D5:F5:H5)</f>
        <v>9</v>
      </c>
    </row>
    <row r="6" spans="1:12">
      <c r="A6" t="s">
        <v>9</v>
      </c>
      <c r="D6">
        <v>2</v>
      </c>
      <c r="F6">
        <v>1</v>
      </c>
      <c r="H6">
        <v>0</v>
      </c>
      <c r="J6">
        <f>SUM(D6:F6:H6)</f>
        <v>3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1</v>
      </c>
      <c r="J8">
        <f>SUM(D8:F8:E8)</f>
        <v>5</v>
      </c>
    </row>
    <row r="9" spans="1:12">
      <c r="A9" t="s">
        <v>12</v>
      </c>
      <c r="D9">
        <v>2</v>
      </c>
      <c r="F9">
        <v>1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13759</v>
      </c>
      <c r="F12">
        <v>14499</v>
      </c>
      <c r="H12">
        <v>0</v>
      </c>
      <c r="J12">
        <f>SUM(D12:F12:H12)</f>
        <v>28258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</v>
      </c>
      <c r="F14">
        <v>3</v>
      </c>
      <c r="H14">
        <v>0</v>
      </c>
      <c r="J14">
        <f>SUM(D14:F14:H14)</f>
        <v>7</v>
      </c>
    </row>
    <row r="15" spans="1:12">
      <c r="B15" t="s">
        <v>7</v>
      </c>
      <c r="D15">
        <f>SUM(D12:D13:D14)</f>
        <v>13763</v>
      </c>
      <c r="F15">
        <f>SUM(F12:F13:F14)</f>
        <v>14502</v>
      </c>
      <c r="H15">
        <f>SUM(H12:H13:H14)</f>
        <v>0</v>
      </c>
      <c r="J15">
        <f>SUM(D15:F15:H15)</f>
        <v>28265</v>
      </c>
    </row>
    <row r="17" spans="1:10">
      <c r="A17" t="s">
        <v>17</v>
      </c>
    </row>
    <row r="18" spans="1:10">
      <c r="B18" t="s">
        <v>14</v>
      </c>
      <c r="D18">
        <v>11513</v>
      </c>
      <c r="F18">
        <v>12728</v>
      </c>
      <c r="H18">
        <v>0</v>
      </c>
      <c r="J18">
        <f>SUM(D18:F18:H18)</f>
        <v>24241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467</v>
      </c>
    </row>
    <row r="22" spans="1:10">
      <c r="B22" t="s">
        <v>7</v>
      </c>
      <c r="J22">
        <f>SUM(J18:J19:J21)</f>
        <v>24708</v>
      </c>
    </row>
    <row r="23" spans="1:10">
      <c r="A23" t="s">
        <v>20</v>
      </c>
      <c r="J23">
        <f>J22/J15*100</f>
        <v>87.415531576154265</v>
      </c>
    </row>
    <row r="25" spans="1:10">
      <c r="A25" t="s">
        <v>21</v>
      </c>
    </row>
    <row r="26" spans="1:10">
      <c r="B26" t="s">
        <v>22</v>
      </c>
      <c r="C26">
        <v>84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J22-84</f>
        <v>24624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45</v>
      </c>
    </row>
    <row r="32" spans="1:10">
      <c r="B32" t="s">
        <v>27</v>
      </c>
      <c r="C32">
        <v>628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110</v>
      </c>
      <c r="G42">
        <v>11156</v>
      </c>
    </row>
    <row r="43" spans="1:7">
      <c r="B43" t="s">
        <v>41</v>
      </c>
      <c r="C43" t="s">
        <v>42</v>
      </c>
      <c r="E43" t="s">
        <v>111</v>
      </c>
      <c r="G43">
        <v>6286</v>
      </c>
    </row>
    <row r="44" spans="1:7">
      <c r="B44" t="s">
        <v>44</v>
      </c>
      <c r="C44">
        <v>4870</v>
      </c>
    </row>
  </sheetData>
  <mergeCells count="1">
    <mergeCell ref="A1:L1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1</v>
      </c>
      <c r="H5">
        <v>0</v>
      </c>
      <c r="J5">
        <f>SUM(D5:F5:H5)</f>
        <v>6</v>
      </c>
    </row>
    <row r="6" spans="1:12">
      <c r="A6" t="s">
        <v>9</v>
      </c>
      <c r="D6">
        <v>1</v>
      </c>
      <c r="F6">
        <v>0</v>
      </c>
      <c r="H6">
        <v>0</v>
      </c>
      <c r="J6">
        <f>SUM(D6:F6:H6)</f>
        <v>1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1</v>
      </c>
      <c r="J8">
        <f>SUM(D8:F8:E8)</f>
        <v>4</v>
      </c>
    </row>
    <row r="9" spans="1:12">
      <c r="A9" t="s">
        <v>12</v>
      </c>
      <c r="D9">
        <v>3</v>
      </c>
      <c r="F9">
        <v>1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13327</v>
      </c>
      <c r="F12">
        <v>13654</v>
      </c>
      <c r="H12">
        <v>0</v>
      </c>
      <c r="J12">
        <f>SUM(D12:F12:H12)</f>
        <v>26981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</v>
      </c>
      <c r="F14">
        <v>0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13330</v>
      </c>
      <c r="F15">
        <f>SUM(F12:F13:F14)</f>
        <v>13654</v>
      </c>
      <c r="H15">
        <f>SUM(H12:H13:H14)</f>
        <v>0</v>
      </c>
      <c r="J15">
        <f>SUM(D15:F15:H15)</f>
        <v>26984</v>
      </c>
    </row>
    <row r="17" spans="1:10">
      <c r="A17" t="s">
        <v>17</v>
      </c>
    </row>
    <row r="18" spans="1:10">
      <c r="B18" t="s">
        <v>14</v>
      </c>
      <c r="D18">
        <v>11098</v>
      </c>
      <c r="F18">
        <v>11682</v>
      </c>
      <c r="H18">
        <v>0</v>
      </c>
      <c r="J18">
        <f>SUM(D18:F18:H18)</f>
        <v>22780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682</v>
      </c>
    </row>
    <row r="22" spans="1:10">
      <c r="B22" t="s">
        <v>7</v>
      </c>
      <c r="J22">
        <f>SUM(J18:J19:J21)</f>
        <v>23462</v>
      </c>
    </row>
    <row r="23" spans="1:10">
      <c r="A23" t="s">
        <v>20</v>
      </c>
      <c r="J23">
        <f>J22/J15*100</f>
        <v>86.94782093092202</v>
      </c>
    </row>
    <row r="25" spans="1:10">
      <c r="A25" t="s">
        <v>21</v>
      </c>
    </row>
    <row r="26" spans="1:10">
      <c r="B26" t="s">
        <v>22</v>
      </c>
      <c r="C26">
        <v>106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J22-106</f>
        <v>23356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675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46</v>
      </c>
      <c r="E42" t="s">
        <v>113</v>
      </c>
      <c r="G42">
        <v>17093</v>
      </c>
    </row>
    <row r="43" spans="1:7">
      <c r="B43" t="s">
        <v>41</v>
      </c>
      <c r="C43" t="s">
        <v>42</v>
      </c>
      <c r="E43" t="s">
        <v>114</v>
      </c>
      <c r="G43">
        <v>3413</v>
      </c>
    </row>
    <row r="44" spans="1:7">
      <c r="B44" t="s">
        <v>44</v>
      </c>
      <c r="C44">
        <v>13680</v>
      </c>
    </row>
  </sheetData>
  <mergeCells count="1">
    <mergeCell ref="A1:L1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2</v>
      </c>
      <c r="H5">
        <v>0</v>
      </c>
      <c r="J5">
        <f>SUM(D5:F5:H5)</f>
        <v>8</v>
      </c>
    </row>
    <row r="6" spans="1:12">
      <c r="A6" t="s">
        <v>9</v>
      </c>
      <c r="D6">
        <v>1</v>
      </c>
      <c r="F6">
        <v>1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1</v>
      </c>
      <c r="J8">
        <f>SUM(D8:F8:E8)</f>
        <v>5</v>
      </c>
    </row>
    <row r="9" spans="1:12">
      <c r="A9" t="s">
        <v>12</v>
      </c>
      <c r="D9">
        <v>3</v>
      </c>
      <c r="F9">
        <v>1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10989</v>
      </c>
      <c r="F12">
        <v>10433</v>
      </c>
      <c r="H12">
        <v>0</v>
      </c>
      <c r="J12">
        <f>SUM(D12:F12:H12)</f>
        <v>21422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19</v>
      </c>
      <c r="F14">
        <v>5</v>
      </c>
      <c r="H14">
        <v>0</v>
      </c>
      <c r="J14">
        <f>SUM(D14:F14:H14)</f>
        <v>24</v>
      </c>
    </row>
    <row r="15" spans="1:12">
      <c r="B15" t="s">
        <v>7</v>
      </c>
      <c r="D15">
        <f>SUM(D12:D13:D14)</f>
        <v>11008</v>
      </c>
      <c r="F15">
        <f>SUM(F12:F13:F14)</f>
        <v>10438</v>
      </c>
      <c r="H15">
        <f>SUM(H12:H13:H14)</f>
        <v>0</v>
      </c>
      <c r="J15">
        <f>SUM(D15:F15:H15)</f>
        <v>21446</v>
      </c>
    </row>
    <row r="17" spans="1:10">
      <c r="A17" t="s">
        <v>17</v>
      </c>
    </row>
    <row r="18" spans="1:10">
      <c r="B18" t="s">
        <v>14</v>
      </c>
      <c r="D18">
        <v>8526</v>
      </c>
      <c r="F18">
        <v>8541</v>
      </c>
      <c r="H18">
        <v>0</v>
      </c>
      <c r="J18">
        <f>SUM(D18:F18:H18)</f>
        <v>17067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312</v>
      </c>
    </row>
    <row r="22" spans="1:10">
      <c r="B22" t="s">
        <v>7</v>
      </c>
      <c r="J22">
        <f>SUM(J18:J19:J21)</f>
        <v>17379</v>
      </c>
    </row>
    <row r="23" spans="1:10">
      <c r="A23" t="s">
        <v>20</v>
      </c>
      <c r="J23">
        <f>J22/J15*100</f>
        <v>81.03609064627436</v>
      </c>
    </row>
    <row r="25" spans="1:10">
      <c r="A25" t="s">
        <v>21</v>
      </c>
    </row>
    <row r="26" spans="1:10">
      <c r="B26" t="s">
        <v>22</v>
      </c>
      <c r="C26">
        <v>39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J22-39</f>
        <v>17340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29</v>
      </c>
    </row>
    <row r="32" spans="1:10">
      <c r="B32" t="s">
        <v>27</v>
      </c>
      <c r="C32">
        <v>739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116</v>
      </c>
      <c r="G42">
        <v>8466</v>
      </c>
    </row>
    <row r="43" spans="1:7">
      <c r="B43" t="s">
        <v>41</v>
      </c>
      <c r="C43" t="s">
        <v>39</v>
      </c>
      <c r="E43" t="s">
        <v>117</v>
      </c>
      <c r="G43">
        <v>8326</v>
      </c>
    </row>
    <row r="44" spans="1:7">
      <c r="B44" t="s">
        <v>44</v>
      </c>
      <c r="C44">
        <v>140</v>
      </c>
    </row>
  </sheetData>
  <mergeCells count="1">
    <mergeCell ref="A1:L1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9</v>
      </c>
      <c r="F5">
        <v>4</v>
      </c>
      <c r="H5">
        <v>0</v>
      </c>
      <c r="J5">
        <f>SUM(D5:F5:H5)</f>
        <v>13</v>
      </c>
    </row>
    <row r="6" spans="1:12">
      <c r="A6" t="s">
        <v>9</v>
      </c>
      <c r="D6">
        <v>2</v>
      </c>
      <c r="F6">
        <v>2</v>
      </c>
      <c r="H6">
        <v>6</v>
      </c>
      <c r="J6">
        <f>SUM(D6:F6:H6)</f>
        <v>10</v>
      </c>
    </row>
    <row r="7" spans="1:12">
      <c r="A7" t="s">
        <v>10</v>
      </c>
      <c r="D7">
        <v>0</v>
      </c>
      <c r="F7">
        <v>1</v>
      </c>
      <c r="H7">
        <v>0</v>
      </c>
      <c r="J7">
        <f>SUM(D7:F7:H7)</f>
        <v>1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1</v>
      </c>
      <c r="J8">
        <f>SUM(D8:F8:E8)</f>
        <v>7</v>
      </c>
    </row>
    <row r="9" spans="1:12">
      <c r="A9" t="s">
        <v>12</v>
      </c>
      <c r="D9">
        <v>5</v>
      </c>
      <c r="F9">
        <v>1</v>
      </c>
      <c r="H9">
        <v>0</v>
      </c>
      <c r="J9">
        <f>SUM(D9:F9:E9)</f>
        <v>6</v>
      </c>
    </row>
    <row r="11" spans="1:12">
      <c r="A11" t="s">
        <v>13</v>
      </c>
    </row>
    <row r="12" spans="1:12">
      <c r="B12" t="s">
        <v>14</v>
      </c>
      <c r="D12">
        <v>18416</v>
      </c>
      <c r="F12">
        <v>17185</v>
      </c>
      <c r="H12">
        <v>0</v>
      </c>
      <c r="J12">
        <f>SUM(D12:F12:H12)</f>
        <v>35601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204</v>
      </c>
      <c r="F14">
        <v>133</v>
      </c>
      <c r="H14">
        <v>0</v>
      </c>
      <c r="J14">
        <f>SUM(D14:F14:H14)</f>
        <v>337</v>
      </c>
    </row>
    <row r="15" spans="1:12">
      <c r="B15" t="s">
        <v>7</v>
      </c>
      <c r="D15">
        <f>SUM(D12:D13:D14)</f>
        <v>18620</v>
      </c>
      <c r="F15">
        <f>SUM(F12:F13:F14)</f>
        <v>17318</v>
      </c>
      <c r="H15">
        <f>SUM(H12:H13:H14)</f>
        <v>0</v>
      </c>
      <c r="J15">
        <f>SUM(D15:F15:H15)</f>
        <v>35938</v>
      </c>
    </row>
    <row r="17" spans="1:10">
      <c r="A17" t="s">
        <v>17</v>
      </c>
    </row>
    <row r="18" spans="1:10">
      <c r="B18" t="s">
        <v>14</v>
      </c>
      <c r="D18">
        <v>12955</v>
      </c>
      <c r="F18">
        <v>12834</v>
      </c>
      <c r="H18">
        <v>0</v>
      </c>
      <c r="J18">
        <f>SUM(D18:F18:H18)</f>
        <v>25789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357</v>
      </c>
    </row>
    <row r="22" spans="1:10">
      <c r="B22" t="s">
        <v>7</v>
      </c>
      <c r="J22">
        <f>SUM(J18:J19:J21)</f>
        <v>26146</v>
      </c>
    </row>
    <row r="23" spans="1:10">
      <c r="A23" t="s">
        <v>20</v>
      </c>
      <c r="J23">
        <f>J22/J15*100</f>
        <v>72.7530747398297</v>
      </c>
    </row>
    <row r="25" spans="1:10">
      <c r="A25" t="s">
        <v>21</v>
      </c>
    </row>
    <row r="26" spans="1:10">
      <c r="B26" t="s">
        <v>22</v>
      </c>
      <c r="C26">
        <v>41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J22-41</f>
        <v>26105</v>
      </c>
    </row>
    <row r="29" spans="1:10">
      <c r="B29" t="s">
        <v>25</v>
      </c>
      <c r="C29">
        <v>7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913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119</v>
      </c>
      <c r="G42">
        <v>8765</v>
      </c>
    </row>
    <row r="43" spans="1:7">
      <c r="B43" t="s">
        <v>41</v>
      </c>
      <c r="C43" t="s">
        <v>69</v>
      </c>
      <c r="E43" t="s">
        <v>120</v>
      </c>
      <c r="G43">
        <v>7414</v>
      </c>
    </row>
    <row r="44" spans="1:7">
      <c r="B44" t="s">
        <v>44</v>
      </c>
      <c r="C44">
        <v>1351</v>
      </c>
    </row>
  </sheetData>
  <mergeCells count="1">
    <mergeCell ref="A1:L1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9</v>
      </c>
      <c r="F5">
        <v>1</v>
      </c>
      <c r="H5">
        <v>0</v>
      </c>
      <c r="J5">
        <f>SUM(D5:F5:H5)</f>
        <v>10</v>
      </c>
    </row>
    <row r="6" spans="1:12">
      <c r="A6" t="s">
        <v>9</v>
      </c>
      <c r="D6">
        <v>1</v>
      </c>
      <c r="F6">
        <v>0</v>
      </c>
      <c r="H6">
        <v>0</v>
      </c>
      <c r="J6">
        <f>SUM(D6:F6:H6)</f>
        <v>1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8</v>
      </c>
      <c r="F8">
        <f>E5-E6-E7</f>
        <v>0</v>
      </c>
      <c r="H8">
        <f>F5-F6-F7</f>
        <v>1</v>
      </c>
      <c r="J8">
        <f>SUM(D8:F8:E8)</f>
        <v>8</v>
      </c>
    </row>
    <row r="9" spans="1:12">
      <c r="A9" t="s">
        <v>12</v>
      </c>
      <c r="D9">
        <v>6</v>
      </c>
      <c r="F9">
        <v>1</v>
      </c>
      <c r="H9">
        <v>0</v>
      </c>
      <c r="J9">
        <f>SUM(D9:F9:E9)</f>
        <v>7</v>
      </c>
    </row>
    <row r="11" spans="1:12">
      <c r="A11" t="s">
        <v>13</v>
      </c>
    </row>
    <row r="12" spans="1:12">
      <c r="B12" t="s">
        <v>14</v>
      </c>
      <c r="D12">
        <v>11332</v>
      </c>
      <c r="F12">
        <v>11146</v>
      </c>
      <c r="H12">
        <v>0</v>
      </c>
      <c r="J12">
        <f>SUM(D12:F12:H12)</f>
        <v>22478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131</v>
      </c>
      <c r="F14">
        <v>41</v>
      </c>
      <c r="H14">
        <v>0</v>
      </c>
      <c r="J14">
        <f>SUM(D14:F14:H14)</f>
        <v>172</v>
      </c>
    </row>
    <row r="15" spans="1:12">
      <c r="B15" t="s">
        <v>7</v>
      </c>
      <c r="D15">
        <f>SUM(D12:D13:D14)</f>
        <v>11463</v>
      </c>
      <c r="F15">
        <f>SUM(F12:F13:F14)</f>
        <v>11187</v>
      </c>
      <c r="H15">
        <f>SUM(H12:H13:H14)</f>
        <v>0</v>
      </c>
      <c r="J15">
        <f>SUM(D15:F15:H15)</f>
        <v>22650</v>
      </c>
    </row>
    <row r="17" spans="1:10">
      <c r="A17" t="s">
        <v>17</v>
      </c>
    </row>
    <row r="18" spans="1:10">
      <c r="B18" t="s">
        <v>14</v>
      </c>
      <c r="D18">
        <v>8377</v>
      </c>
      <c r="F18">
        <v>8837</v>
      </c>
      <c r="H18">
        <v>0</v>
      </c>
      <c r="J18">
        <f>SUM(D18:F18:H18)</f>
        <v>17214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310</v>
      </c>
    </row>
    <row r="22" spans="1:10">
      <c r="B22" t="s">
        <v>7</v>
      </c>
      <c r="J22">
        <f>SUM(J18:J19:J21)</f>
        <v>17524</v>
      </c>
    </row>
    <row r="23" spans="1:10">
      <c r="A23" t="s">
        <v>20</v>
      </c>
      <c r="J23">
        <f>J22/J15*100</f>
        <v>77.368653421633553</v>
      </c>
    </row>
    <row r="25" spans="1:10">
      <c r="A25" t="s">
        <v>21</v>
      </c>
    </row>
    <row r="26" spans="1:10">
      <c r="B26" t="s">
        <v>22</v>
      </c>
      <c r="C26">
        <v>51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J22-51</f>
        <v>17473</v>
      </c>
    </row>
    <row r="29" spans="1:10">
      <c r="B29" t="s">
        <v>25</v>
      </c>
      <c r="C29">
        <v>0</v>
      </c>
    </row>
    <row r="31" spans="1:10">
      <c r="A31" t="s">
        <v>26</v>
      </c>
      <c r="C31">
        <v>26</v>
      </c>
    </row>
    <row r="32" spans="1:10">
      <c r="B32" t="s">
        <v>27</v>
      </c>
      <c r="C32">
        <v>865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122</v>
      </c>
      <c r="G42">
        <v>7234</v>
      </c>
    </row>
    <row r="43" spans="1:7">
      <c r="B43" t="s">
        <v>41</v>
      </c>
      <c r="C43" t="s">
        <v>46</v>
      </c>
      <c r="E43" t="s">
        <v>123</v>
      </c>
      <c r="G43">
        <v>4740</v>
      </c>
    </row>
    <row r="44" spans="1:7">
      <c r="B44" t="s">
        <v>44</v>
      </c>
      <c r="C44">
        <v>2494</v>
      </c>
    </row>
  </sheetData>
  <mergeCells count="1">
    <mergeCell ref="A1:L1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11</v>
      </c>
      <c r="F5">
        <v>4</v>
      </c>
      <c r="H5">
        <v>0</v>
      </c>
      <c r="J5">
        <f>SUM(D5:F5:H5)</f>
        <v>15</v>
      </c>
    </row>
    <row r="6" spans="1:12">
      <c r="A6" t="s">
        <v>9</v>
      </c>
      <c r="D6">
        <v>3</v>
      </c>
      <c r="F6">
        <v>0</v>
      </c>
      <c r="H6">
        <v>0</v>
      </c>
      <c r="J6">
        <f>SUM(D6:F6:H6)</f>
        <v>3</v>
      </c>
    </row>
    <row r="7" spans="1:12">
      <c r="A7" t="s">
        <v>10</v>
      </c>
      <c r="D7">
        <v>1</v>
      </c>
      <c r="F7">
        <v>1</v>
      </c>
      <c r="H7">
        <v>0</v>
      </c>
      <c r="J7">
        <f>SUM(D7:F7:H7)</f>
        <v>2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3</v>
      </c>
      <c r="J8">
        <f>SUM(D8:F8:E8)</f>
        <v>7</v>
      </c>
    </row>
    <row r="9" spans="1:12">
      <c r="A9" t="s">
        <v>12</v>
      </c>
      <c r="D9">
        <v>5</v>
      </c>
      <c r="F9">
        <v>2</v>
      </c>
      <c r="H9">
        <v>0</v>
      </c>
      <c r="J9">
        <f>SUM(D9:F9:E9)</f>
        <v>7</v>
      </c>
    </row>
    <row r="11" spans="1:12">
      <c r="A11" t="s">
        <v>13</v>
      </c>
    </row>
    <row r="12" spans="1:12">
      <c r="B12" t="s">
        <v>14</v>
      </c>
      <c r="D12">
        <v>15308</v>
      </c>
      <c r="F12">
        <v>15152</v>
      </c>
      <c r="H12">
        <v>0</v>
      </c>
      <c r="J12">
        <f>SUM(D12:F12:H12)</f>
        <v>30460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</v>
      </c>
      <c r="F14">
        <v>0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15311</v>
      </c>
      <c r="F15">
        <f>SUM(F12:F13:F14)</f>
        <v>15152</v>
      </c>
      <c r="H15">
        <f>SUM(H12:H13:H14)</f>
        <v>0</v>
      </c>
      <c r="J15">
        <f>SUM(D15:F15:H15)</f>
        <v>30463</v>
      </c>
    </row>
    <row r="17" spans="1:10">
      <c r="A17" t="s">
        <v>17</v>
      </c>
    </row>
    <row r="18" spans="1:10">
      <c r="B18" t="s">
        <v>14</v>
      </c>
      <c r="D18">
        <v>11079</v>
      </c>
      <c r="F18">
        <v>12206</v>
      </c>
      <c r="H18">
        <v>0</v>
      </c>
      <c r="J18">
        <f>SUM(D18:F18:H18)</f>
        <v>23285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230</v>
      </c>
    </row>
    <row r="22" spans="1:10">
      <c r="B22" t="s">
        <v>7</v>
      </c>
      <c r="J22">
        <f>SUM(J18:J19:J21)</f>
        <v>23515</v>
      </c>
    </row>
    <row r="23" spans="1:10">
      <c r="A23" t="s">
        <v>20</v>
      </c>
      <c r="J23">
        <f>J22/J15*100</f>
        <v>77.192003413977616</v>
      </c>
    </row>
    <row r="25" spans="1:10">
      <c r="A25" t="s">
        <v>21</v>
      </c>
    </row>
    <row r="26" spans="1:10">
      <c r="B26" t="s">
        <v>22</v>
      </c>
      <c r="C26">
        <v>29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J22-29</f>
        <v>23486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802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125</v>
      </c>
      <c r="G42">
        <v>5666</v>
      </c>
    </row>
    <row r="43" spans="1:7">
      <c r="B43" t="s">
        <v>41</v>
      </c>
      <c r="C43" t="s">
        <v>69</v>
      </c>
      <c r="E43" t="s">
        <v>126</v>
      </c>
      <c r="G43">
        <v>5148</v>
      </c>
    </row>
    <row r="44" spans="1:7">
      <c r="B44" t="s">
        <v>44</v>
      </c>
      <c r="C44">
        <v>518</v>
      </c>
    </row>
  </sheetData>
  <mergeCells count="1">
    <mergeCell ref="A1:L1"/>
  </mergeCells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2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2</v>
      </c>
      <c r="H7">
        <v>0</v>
      </c>
      <c r="J7">
        <f>SUM(D7:F7:H7)</f>
        <v>2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13167</v>
      </c>
      <c r="F12">
        <v>15030</v>
      </c>
      <c r="H12">
        <v>0</v>
      </c>
      <c r="J12">
        <f>SUM(D12:F12:H12)</f>
        <v>28197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</v>
      </c>
      <c r="F14">
        <v>0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13170</v>
      </c>
      <c r="F15">
        <f>SUM(F12:F13:F14)</f>
        <v>15030</v>
      </c>
      <c r="H15">
        <f>SUM(H12:H13:H14)</f>
        <v>0</v>
      </c>
      <c r="J15">
        <f>SUM(D15:F15:H15)</f>
        <v>28200</v>
      </c>
    </row>
    <row r="17" spans="1:10">
      <c r="A17" t="s">
        <v>17</v>
      </c>
    </row>
    <row r="18" spans="1:10">
      <c r="B18" t="s">
        <v>14</v>
      </c>
      <c r="D18">
        <v>9081</v>
      </c>
      <c r="F18">
        <v>12193</v>
      </c>
      <c r="H18">
        <v>0</v>
      </c>
      <c r="J18">
        <f>SUM(D18:F18:H18)</f>
        <v>21274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177</v>
      </c>
    </row>
    <row r="22" spans="1:10">
      <c r="B22" t="s">
        <v>7</v>
      </c>
      <c r="J22">
        <f>SUM(J18:J19:J21)</f>
        <v>21451</v>
      </c>
    </row>
    <row r="23" spans="1:10">
      <c r="A23" t="s">
        <v>20</v>
      </c>
      <c r="J23">
        <f>J22/J15*100</f>
        <v>76.067375886524829</v>
      </c>
    </row>
    <row r="25" spans="1:10">
      <c r="A25" t="s">
        <v>21</v>
      </c>
    </row>
    <row r="26" spans="1:10">
      <c r="B26" t="s">
        <v>22</v>
      </c>
      <c r="C26">
        <v>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</f>
        <v>21447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723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128</v>
      </c>
      <c r="G42">
        <v>9967</v>
      </c>
    </row>
    <row r="43" spans="1:7">
      <c r="B43" t="s">
        <v>41</v>
      </c>
      <c r="C43" t="s">
        <v>129</v>
      </c>
      <c r="E43" t="s">
        <v>130</v>
      </c>
      <c r="G43">
        <v>4307</v>
      </c>
    </row>
    <row r="44" spans="1:7">
      <c r="B44" t="s">
        <v>44</v>
      </c>
      <c r="C44">
        <v>5660</v>
      </c>
    </row>
  </sheetData>
  <mergeCells count="1">
    <mergeCell ref="A1:L1"/>
  </mergeCell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131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1</v>
      </c>
      <c r="H5">
        <v>0</v>
      </c>
      <c r="J5">
        <f>SUM(D5:F5:H5)</f>
        <v>7</v>
      </c>
    </row>
    <row r="6" spans="1:12">
      <c r="A6" t="s">
        <v>9</v>
      </c>
      <c r="D6">
        <v>1</v>
      </c>
      <c r="F6">
        <v>1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13652</v>
      </c>
      <c r="F12">
        <v>14531</v>
      </c>
      <c r="H12">
        <v>0</v>
      </c>
      <c r="J12">
        <f>SUM(D12:F12:H12)</f>
        <v>28183</v>
      </c>
    </row>
    <row r="13" spans="1:12">
      <c r="B13" t="s">
        <v>15</v>
      </c>
      <c r="D13">
        <v>1</v>
      </c>
      <c r="F13">
        <v>0</v>
      </c>
      <c r="H13">
        <v>0</v>
      </c>
      <c r="J13">
        <f>SUM(D13:F13:H13)</f>
        <v>1</v>
      </c>
    </row>
    <row r="14" spans="1:12">
      <c r="B14" t="s">
        <v>16</v>
      </c>
      <c r="D14">
        <v>3</v>
      </c>
      <c r="F14">
        <v>0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13656</v>
      </c>
      <c r="F15">
        <f>SUM(F12:F13:F14)</f>
        <v>14531</v>
      </c>
      <c r="H15">
        <f>SUM(H12:H13:H14)</f>
        <v>0</v>
      </c>
      <c r="J15">
        <f>SUM(D15:F15:H15)</f>
        <v>28187</v>
      </c>
    </row>
    <row r="17" spans="1:10">
      <c r="A17" t="s">
        <v>17</v>
      </c>
    </row>
    <row r="18" spans="1:10">
      <c r="B18" t="s">
        <v>14</v>
      </c>
      <c r="D18">
        <v>9596</v>
      </c>
      <c r="F18">
        <v>11494</v>
      </c>
      <c r="H18">
        <v>0</v>
      </c>
      <c r="J18">
        <f>SUM(D18:F18:H18)</f>
        <v>21090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243</v>
      </c>
    </row>
    <row r="22" spans="1:10">
      <c r="B22" t="s">
        <v>7</v>
      </c>
      <c r="J22">
        <f>SUM(J18:J19:J21)</f>
        <v>21333</v>
      </c>
    </row>
    <row r="23" spans="1:10">
      <c r="A23" t="s">
        <v>20</v>
      </c>
      <c r="J23">
        <f>J22/J15*100</f>
        <v>75.683825877177426</v>
      </c>
    </row>
    <row r="25" spans="1:10">
      <c r="A25" t="s">
        <v>21</v>
      </c>
    </row>
    <row r="26" spans="1:10">
      <c r="B26" t="s">
        <v>22</v>
      </c>
      <c r="C26">
        <v>30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J22-30</f>
        <v>21303</v>
      </c>
    </row>
    <row r="29" spans="1:10">
      <c r="B29" t="s">
        <v>25</v>
      </c>
      <c r="C29">
        <v>1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742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132</v>
      </c>
      <c r="G42">
        <v>12841</v>
      </c>
    </row>
    <row r="43" spans="1:7">
      <c r="B43" t="s">
        <v>41</v>
      </c>
      <c r="C43" t="s">
        <v>42</v>
      </c>
      <c r="E43" t="s">
        <v>133</v>
      </c>
      <c r="G43">
        <v>5144</v>
      </c>
    </row>
    <row r="44" spans="1:7">
      <c r="B44" t="s">
        <v>44</v>
      </c>
      <c r="C44">
        <v>7697</v>
      </c>
    </row>
  </sheetData>
  <mergeCells count="1">
    <mergeCell ref="A1:L1"/>
  </mergeCells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134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15</v>
      </c>
      <c r="F5">
        <v>1</v>
      </c>
      <c r="H5">
        <v>0</v>
      </c>
      <c r="J5">
        <f>SUM(D5:F5:H5)</f>
        <v>16</v>
      </c>
    </row>
    <row r="6" spans="1:12">
      <c r="A6" t="s">
        <v>9</v>
      </c>
      <c r="D6">
        <v>7</v>
      </c>
      <c r="F6">
        <v>0</v>
      </c>
      <c r="H6">
        <v>0</v>
      </c>
      <c r="J6">
        <f>SUM(D6:F6:H6)</f>
        <v>7</v>
      </c>
    </row>
    <row r="7" spans="1:12">
      <c r="A7" t="s">
        <v>10</v>
      </c>
      <c r="D7">
        <v>2</v>
      </c>
      <c r="F7">
        <v>1</v>
      </c>
      <c r="H7">
        <v>0</v>
      </c>
      <c r="J7">
        <f>SUM(D7:F7:H7)</f>
        <v>3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13976</v>
      </c>
      <c r="F12">
        <v>15001</v>
      </c>
      <c r="H12">
        <v>0</v>
      </c>
      <c r="J12">
        <f>SUM(D12:F12:H12)</f>
        <v>28977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</v>
      </c>
      <c r="F14">
        <v>1</v>
      </c>
      <c r="H14">
        <v>0</v>
      </c>
      <c r="J14">
        <f>SUM(D14:F14:H14)</f>
        <v>8</v>
      </c>
    </row>
    <row r="15" spans="1:12">
      <c r="B15" t="s">
        <v>7</v>
      </c>
      <c r="D15">
        <f>SUM(D12:D13:D14)</f>
        <v>13983</v>
      </c>
      <c r="F15">
        <f>SUM(F12:F13:F14)</f>
        <v>15002</v>
      </c>
      <c r="H15">
        <f>SUM(H12:H13:H14)</f>
        <v>0</v>
      </c>
      <c r="J15">
        <f>SUM(D15:F15:H15)</f>
        <v>28985</v>
      </c>
    </row>
    <row r="17" spans="1:10">
      <c r="A17" t="s">
        <v>17</v>
      </c>
    </row>
    <row r="18" spans="1:10">
      <c r="B18" t="s">
        <v>14</v>
      </c>
      <c r="D18">
        <v>10487</v>
      </c>
      <c r="F18">
        <v>12141</v>
      </c>
      <c r="H18">
        <v>0</v>
      </c>
      <c r="J18">
        <f>SUM(D18:F18:H18)</f>
        <v>22628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426</v>
      </c>
    </row>
    <row r="22" spans="1:10">
      <c r="B22" t="s">
        <v>7</v>
      </c>
      <c r="J22">
        <f>SUM(J18:J19:J21)</f>
        <v>23054</v>
      </c>
    </row>
    <row r="23" spans="1:10">
      <c r="A23" t="s">
        <v>20</v>
      </c>
      <c r="J23">
        <f>J22/J15*100</f>
        <v>79.537691909608426</v>
      </c>
    </row>
    <row r="25" spans="1:10">
      <c r="A25" t="s">
        <v>21</v>
      </c>
    </row>
    <row r="26" spans="1:10">
      <c r="B26" t="s">
        <v>22</v>
      </c>
      <c r="C26">
        <v>16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J22-16</f>
        <v>23038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763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59</v>
      </c>
      <c r="E42" t="s">
        <v>135</v>
      </c>
      <c r="G42">
        <v>10516</v>
      </c>
    </row>
    <row r="43" spans="1:7">
      <c r="B43" t="s">
        <v>41</v>
      </c>
      <c r="C43" t="s">
        <v>42</v>
      </c>
      <c r="E43" t="s">
        <v>136</v>
      </c>
      <c r="G43">
        <v>9182</v>
      </c>
    </row>
    <row r="44" spans="1:7">
      <c r="B44" t="s">
        <v>44</v>
      </c>
      <c r="C44">
        <v>1334</v>
      </c>
    </row>
  </sheetData>
  <mergeCells count="1">
    <mergeCell ref="A1:L1"/>
  </mergeCells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137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9</v>
      </c>
      <c r="F5">
        <v>2</v>
      </c>
      <c r="H5">
        <v>0</v>
      </c>
      <c r="J5">
        <f>SUM(D5:F5:H5)</f>
        <v>11</v>
      </c>
    </row>
    <row r="6" spans="1:12">
      <c r="A6" t="s">
        <v>9</v>
      </c>
      <c r="D6">
        <v>5</v>
      </c>
      <c r="F6">
        <v>2</v>
      </c>
      <c r="H6">
        <v>0</v>
      </c>
      <c r="J6">
        <f>SUM(D6:F6:H6)</f>
        <v>7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14069</v>
      </c>
      <c r="F12">
        <v>14381</v>
      </c>
      <c r="H12">
        <v>0</v>
      </c>
      <c r="J12">
        <f>SUM(D12:F12:H12)</f>
        <v>28450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</v>
      </c>
      <c r="F14">
        <v>1</v>
      </c>
      <c r="H14">
        <v>0</v>
      </c>
      <c r="J14">
        <f>SUM(D14:F14:H14)</f>
        <v>7</v>
      </c>
    </row>
    <row r="15" spans="1:12">
      <c r="B15" t="s">
        <v>7</v>
      </c>
      <c r="D15">
        <f>SUM(D12:D13:D14)</f>
        <v>14075</v>
      </c>
      <c r="F15">
        <f>SUM(F12:F13:F14)</f>
        <v>14382</v>
      </c>
      <c r="H15">
        <f>SUM(H12:H13:H14)</f>
        <v>0</v>
      </c>
      <c r="J15">
        <f>SUM(D15:F15:H15)</f>
        <v>28457</v>
      </c>
    </row>
    <row r="17" spans="1:10">
      <c r="A17" t="s">
        <v>17</v>
      </c>
    </row>
    <row r="18" spans="1:10">
      <c r="B18" t="s">
        <v>14</v>
      </c>
      <c r="D18">
        <v>10682</v>
      </c>
      <c r="F18">
        <v>11377</v>
      </c>
      <c r="H18">
        <v>0</v>
      </c>
      <c r="J18">
        <f>SUM(D18:F18:H18)</f>
        <v>22059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307</v>
      </c>
    </row>
    <row r="22" spans="1:10">
      <c r="B22" t="s">
        <v>7</v>
      </c>
      <c r="J22">
        <f>SUM(J18:J19:J21)</f>
        <v>22366</v>
      </c>
    </row>
    <row r="23" spans="1:10">
      <c r="A23" t="s">
        <v>20</v>
      </c>
      <c r="J23">
        <f>J22/J15*100</f>
        <v>78.595776083213266</v>
      </c>
    </row>
    <row r="25" spans="1:10">
      <c r="A25" t="s">
        <v>21</v>
      </c>
    </row>
    <row r="26" spans="1:10">
      <c r="B26" t="s">
        <v>22</v>
      </c>
      <c r="C26">
        <v>13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J22-13</f>
        <v>22353</v>
      </c>
    </row>
    <row r="29" spans="1:10">
      <c r="B29" t="s">
        <v>25</v>
      </c>
      <c r="C29">
        <v>1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749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138</v>
      </c>
      <c r="G42">
        <v>12105</v>
      </c>
    </row>
    <row r="43" spans="1:7">
      <c r="B43" t="s">
        <v>41</v>
      </c>
      <c r="C43" t="s">
        <v>42</v>
      </c>
      <c r="E43" t="s">
        <v>139</v>
      </c>
      <c r="G43">
        <v>7929</v>
      </c>
    </row>
    <row r="44" spans="1:7">
      <c r="B44" t="s">
        <v>44</v>
      </c>
      <c r="C44">
        <v>4176</v>
      </c>
    </row>
  </sheetData>
  <mergeCells count="1">
    <mergeCell ref="A1:L1"/>
  </mergeCells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5</v>
      </c>
      <c r="H5">
        <v>0</v>
      </c>
      <c r="J5">
        <f>SUM(D5:F5:H5)</f>
        <v>9</v>
      </c>
    </row>
    <row r="6" spans="1:12">
      <c r="A6" t="s">
        <v>9</v>
      </c>
      <c r="D6">
        <v>0</v>
      </c>
      <c r="F6">
        <v>2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3</v>
      </c>
      <c r="J8">
        <f>SUM(D8:F8:E8)</f>
        <v>4</v>
      </c>
    </row>
    <row r="9" spans="1:12">
      <c r="A9" t="s">
        <v>12</v>
      </c>
      <c r="D9">
        <v>2</v>
      </c>
      <c r="F9">
        <v>2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13679</v>
      </c>
      <c r="F12">
        <v>14923</v>
      </c>
      <c r="H12">
        <v>0</v>
      </c>
      <c r="J12">
        <f>SUM(D12:F12:H12)</f>
        <v>28602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</v>
      </c>
      <c r="F14">
        <v>0</v>
      </c>
      <c r="H14">
        <v>0</v>
      </c>
      <c r="J14">
        <f>SUM(D14:F14:H14)</f>
        <v>1</v>
      </c>
    </row>
    <row r="15" spans="1:12">
      <c r="B15" t="s">
        <v>7</v>
      </c>
      <c r="D15">
        <f>SUM(D12:D13:D14)</f>
        <v>13680</v>
      </c>
      <c r="F15">
        <f>SUM(F12:F13:F14)</f>
        <v>14923</v>
      </c>
      <c r="H15">
        <f>SUM(H12:H13:H14)</f>
        <v>0</v>
      </c>
      <c r="J15">
        <f>SUM(D15:F15:H15)</f>
        <v>28603</v>
      </c>
    </row>
    <row r="17" spans="1:10">
      <c r="A17" t="s">
        <v>17</v>
      </c>
    </row>
    <row r="18" spans="1:10">
      <c r="B18" t="s">
        <v>14</v>
      </c>
      <c r="D18">
        <v>9190</v>
      </c>
      <c r="F18">
        <v>12009</v>
      </c>
      <c r="H18">
        <v>0</v>
      </c>
      <c r="J18">
        <f>SUM(D18:F18:H18)</f>
        <v>21199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117</v>
      </c>
    </row>
    <row r="22" spans="1:10">
      <c r="B22" t="s">
        <v>7</v>
      </c>
      <c r="J22">
        <f>SUM(J18:J19:J21)</f>
        <v>21316</v>
      </c>
    </row>
    <row r="23" spans="1:10">
      <c r="A23" t="s">
        <v>20</v>
      </c>
      <c r="J23">
        <f>J22/J15*100</f>
        <v>74.523651365241406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21314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733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141</v>
      </c>
      <c r="E42" t="s">
        <v>142</v>
      </c>
      <c r="G42">
        <v>9373</v>
      </c>
    </row>
    <row r="43" spans="1:7">
      <c r="B43" t="s">
        <v>41</v>
      </c>
      <c r="C43" t="s">
        <v>143</v>
      </c>
      <c r="E43" t="s">
        <v>144</v>
      </c>
      <c r="G43">
        <v>4182</v>
      </c>
    </row>
    <row r="44" spans="1:7">
      <c r="B44" t="s">
        <v>44</v>
      </c>
      <c r="C44">
        <v>5191</v>
      </c>
    </row>
  </sheetData>
  <mergeCells count="1">
    <mergeCell ref="A1:L1"/>
  </mergeCells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9</v>
      </c>
      <c r="F5">
        <v>0</v>
      </c>
      <c r="H5">
        <v>0</v>
      </c>
      <c r="J5">
        <f>SUM(D5:F5:H5)</f>
        <v>9</v>
      </c>
    </row>
    <row r="6" spans="1:12">
      <c r="A6" t="s">
        <v>9</v>
      </c>
      <c r="D6">
        <v>2</v>
      </c>
      <c r="F6">
        <v>0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0</v>
      </c>
      <c r="J8">
        <f>SUM(D8:F8:E8)</f>
        <v>7</v>
      </c>
    </row>
    <row r="9" spans="1:12">
      <c r="A9" t="s">
        <v>12</v>
      </c>
      <c r="D9">
        <v>5</v>
      </c>
      <c r="F9">
        <v>0</v>
      </c>
      <c r="H9">
        <v>0</v>
      </c>
      <c r="J9">
        <f>SUM(D9:F9:E9)</f>
        <v>5</v>
      </c>
    </row>
    <row r="11" spans="1:12">
      <c r="A11" t="s">
        <v>13</v>
      </c>
    </row>
    <row r="12" spans="1:12">
      <c r="B12" t="s">
        <v>14</v>
      </c>
      <c r="D12">
        <v>13722</v>
      </c>
      <c r="F12">
        <v>13622</v>
      </c>
      <c r="H12">
        <v>0</v>
      </c>
      <c r="J12">
        <f>SUM(D12:F12:H12)</f>
        <v>27344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</v>
      </c>
      <c r="F14">
        <v>1</v>
      </c>
      <c r="H14">
        <v>0</v>
      </c>
      <c r="J14">
        <f>SUM(D14:F14:H14)</f>
        <v>5</v>
      </c>
    </row>
    <row r="15" spans="1:12">
      <c r="B15" t="s">
        <v>7</v>
      </c>
      <c r="D15">
        <f>SUM(D12:D13:D14)</f>
        <v>13726</v>
      </c>
      <c r="F15">
        <f>SUM(F12:F13:F14)</f>
        <v>13623</v>
      </c>
      <c r="H15">
        <f>SUM(H12:H13:H14)</f>
        <v>0</v>
      </c>
      <c r="J15">
        <f>SUM(D15:F15:H15)</f>
        <v>27349</v>
      </c>
    </row>
    <row r="17" spans="1:10">
      <c r="A17" t="s">
        <v>17</v>
      </c>
    </row>
    <row r="18" spans="1:10">
      <c r="B18" t="s">
        <v>14</v>
      </c>
      <c r="D18">
        <v>10036</v>
      </c>
      <c r="F18">
        <v>11128</v>
      </c>
      <c r="H18">
        <v>0</v>
      </c>
      <c r="J18">
        <f>SUM(D18:F18:H18)</f>
        <v>21164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190</v>
      </c>
    </row>
    <row r="22" spans="1:10">
      <c r="B22" t="s">
        <v>7</v>
      </c>
      <c r="J22">
        <f>SUM(J18:J19:J21)</f>
        <v>21354</v>
      </c>
    </row>
    <row r="23" spans="1:10">
      <c r="A23" t="s">
        <v>20</v>
      </c>
      <c r="J23">
        <f>J22/J15*100</f>
        <v>78.079637281070603</v>
      </c>
    </row>
    <row r="25" spans="1:10">
      <c r="A25" t="s">
        <v>21</v>
      </c>
    </row>
    <row r="26" spans="1:10">
      <c r="B26" t="s">
        <v>22</v>
      </c>
      <c r="C26">
        <v>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</f>
        <v>21351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36</v>
      </c>
    </row>
    <row r="32" spans="1:10">
      <c r="B32" t="s">
        <v>27</v>
      </c>
      <c r="C32">
        <v>760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146</v>
      </c>
      <c r="G42">
        <v>8183</v>
      </c>
    </row>
    <row r="43" spans="1:7">
      <c r="B43" t="s">
        <v>41</v>
      </c>
      <c r="C43" t="s">
        <v>69</v>
      </c>
      <c r="E43" t="s">
        <v>147</v>
      </c>
      <c r="G43">
        <v>5705</v>
      </c>
    </row>
    <row r="44" spans="1:7">
      <c r="B44" t="s">
        <v>44</v>
      </c>
      <c r="C44">
        <v>2478</v>
      </c>
    </row>
  </sheetData>
  <mergeCells count="1">
    <mergeCell ref="A1:L1"/>
  </mergeCells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10</v>
      </c>
      <c r="F5">
        <v>0</v>
      </c>
      <c r="H5">
        <v>0</v>
      </c>
      <c r="J5">
        <f>SUM(D5:F5:H5)</f>
        <v>10</v>
      </c>
    </row>
    <row r="6" spans="1:12">
      <c r="A6" t="s">
        <v>9</v>
      </c>
      <c r="D6">
        <v>2</v>
      </c>
      <c r="F6">
        <v>0</v>
      </c>
      <c r="H6">
        <v>0</v>
      </c>
      <c r="J6">
        <f>SUM(D6:F6:H6)</f>
        <v>2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0</v>
      </c>
      <c r="J8">
        <f>SUM(D8:F8:E8)</f>
        <v>7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14090</v>
      </c>
      <c r="F12">
        <v>14973</v>
      </c>
      <c r="H12">
        <v>0</v>
      </c>
      <c r="J12">
        <f>SUM(D12:F12:H12)</f>
        <v>29063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</v>
      </c>
      <c r="F14">
        <v>1</v>
      </c>
      <c r="H14">
        <v>0</v>
      </c>
      <c r="J14">
        <f>SUM(D14:F14:H14)</f>
        <v>4</v>
      </c>
    </row>
    <row r="15" spans="1:12">
      <c r="B15" t="s">
        <v>7</v>
      </c>
      <c r="D15">
        <f>SUM(D12:D13:D14)</f>
        <v>14093</v>
      </c>
      <c r="F15">
        <f>SUM(F12:F13:F14)</f>
        <v>14974</v>
      </c>
      <c r="H15">
        <f>SUM(H12:H13:H14)</f>
        <v>0</v>
      </c>
      <c r="J15">
        <f>SUM(D15:F15:H15)</f>
        <v>29067</v>
      </c>
    </row>
    <row r="17" spans="1:10">
      <c r="A17" t="s">
        <v>17</v>
      </c>
    </row>
    <row r="18" spans="1:10">
      <c r="B18" t="s">
        <v>14</v>
      </c>
      <c r="D18">
        <v>9787</v>
      </c>
      <c r="F18">
        <v>12362</v>
      </c>
      <c r="H18">
        <v>0</v>
      </c>
      <c r="J18">
        <f>SUM(D18:F18:H18)</f>
        <v>22149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336</v>
      </c>
    </row>
    <row r="22" spans="1:10">
      <c r="B22" t="s">
        <v>7</v>
      </c>
      <c r="J22">
        <f>SUM(J18:J19:J21)</f>
        <v>22485</v>
      </c>
    </row>
    <row r="23" spans="1:10">
      <c r="A23" t="s">
        <v>20</v>
      </c>
      <c r="J23">
        <f>J22/J15*100</f>
        <v>77.355764268758392</v>
      </c>
    </row>
    <row r="25" spans="1:10">
      <c r="A25" t="s">
        <v>21</v>
      </c>
    </row>
    <row r="26" spans="1:10">
      <c r="B26" t="s">
        <v>22</v>
      </c>
      <c r="C26">
        <v>45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J22-45</f>
        <v>22440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42</v>
      </c>
    </row>
    <row r="32" spans="1:10">
      <c r="B32" t="s">
        <v>27</v>
      </c>
      <c r="C32">
        <v>692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149</v>
      </c>
      <c r="G42">
        <v>6415</v>
      </c>
    </row>
    <row r="43" spans="1:7">
      <c r="B43" t="s">
        <v>41</v>
      </c>
      <c r="C43" t="s">
        <v>69</v>
      </c>
      <c r="E43" t="s">
        <v>150</v>
      </c>
      <c r="G43">
        <v>6382</v>
      </c>
    </row>
    <row r="44" spans="1:7">
      <c r="B44" t="s">
        <v>44</v>
      </c>
      <c r="C44">
        <v>33</v>
      </c>
    </row>
  </sheetData>
  <mergeCells count="1">
    <mergeCell ref="A1:L1"/>
  </mergeCells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151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13</v>
      </c>
      <c r="F5">
        <v>1</v>
      </c>
      <c r="H5">
        <v>0</v>
      </c>
      <c r="J5">
        <f>SUM(D5:F5:H5)</f>
        <v>14</v>
      </c>
    </row>
    <row r="6" spans="1:12">
      <c r="A6" t="s">
        <v>9</v>
      </c>
      <c r="D6">
        <v>1</v>
      </c>
      <c r="F6">
        <v>1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12</v>
      </c>
      <c r="F8">
        <f>E5-E6-E7</f>
        <v>0</v>
      </c>
      <c r="H8">
        <f>F5-F6-F7</f>
        <v>0</v>
      </c>
      <c r="J8">
        <f>SUM(D8:F8:E8)</f>
        <v>12</v>
      </c>
    </row>
    <row r="9" spans="1:12">
      <c r="A9" t="s">
        <v>12</v>
      </c>
      <c r="D9">
        <v>10</v>
      </c>
      <c r="F9">
        <v>0</v>
      </c>
      <c r="H9">
        <v>0</v>
      </c>
      <c r="J9">
        <f>SUM(D9:F9:E9)</f>
        <v>10</v>
      </c>
    </row>
    <row r="11" spans="1:12">
      <c r="A11" t="s">
        <v>13</v>
      </c>
    </row>
    <row r="12" spans="1:12">
      <c r="B12" t="s">
        <v>14</v>
      </c>
      <c r="D12">
        <v>14968</v>
      </c>
      <c r="F12">
        <v>16207</v>
      </c>
      <c r="H12">
        <v>0</v>
      </c>
      <c r="J12">
        <f>SUM(D12:F12:H12)</f>
        <v>31175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</v>
      </c>
      <c r="F14">
        <v>1</v>
      </c>
      <c r="H14">
        <v>0</v>
      </c>
      <c r="J14">
        <f>SUM(D14:F14:H14)</f>
        <v>3</v>
      </c>
    </row>
    <row r="15" spans="1:12">
      <c r="B15" t="s">
        <v>7</v>
      </c>
      <c r="D15">
        <f>SUM(D12:D13:D14)</f>
        <v>14970</v>
      </c>
      <c r="F15">
        <f>SUM(F12:F13:F14)</f>
        <v>16208</v>
      </c>
      <c r="H15">
        <f>SUM(H12:H13:H14)</f>
        <v>0</v>
      </c>
      <c r="J15">
        <f>SUM(D15:F15:H15)</f>
        <v>31178</v>
      </c>
    </row>
    <row r="17" spans="1:10">
      <c r="A17" t="s">
        <v>17</v>
      </c>
    </row>
    <row r="18" spans="1:10">
      <c r="B18" t="s">
        <v>14</v>
      </c>
      <c r="D18">
        <v>9849</v>
      </c>
      <c r="F18">
        <v>13459</v>
      </c>
      <c r="H18">
        <v>0</v>
      </c>
      <c r="J18">
        <f>SUM(D18:F18:H18)</f>
        <v>23308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228</v>
      </c>
    </row>
    <row r="22" spans="1:10">
      <c r="B22" t="s">
        <v>7</v>
      </c>
      <c r="J22">
        <f>SUM(J18:J19:J21)</f>
        <v>23536</v>
      </c>
    </row>
    <row r="23" spans="1:10">
      <c r="A23" t="s">
        <v>20</v>
      </c>
      <c r="J23">
        <f>J22/J15*100</f>
        <v>75.489126948489314</v>
      </c>
    </row>
    <row r="25" spans="1:10">
      <c r="A25" t="s">
        <v>21</v>
      </c>
    </row>
    <row r="26" spans="1:10">
      <c r="B26" t="s">
        <v>22</v>
      </c>
      <c r="C26">
        <v>9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J22-9</f>
        <v>23527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44</v>
      </c>
    </row>
    <row r="32" spans="1:10">
      <c r="B32" t="s">
        <v>27</v>
      </c>
      <c r="C32">
        <v>709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152</v>
      </c>
      <c r="G42">
        <v>10417</v>
      </c>
    </row>
    <row r="43" spans="1:7">
      <c r="B43" t="s">
        <v>41</v>
      </c>
      <c r="C43" t="s">
        <v>69</v>
      </c>
      <c r="E43" t="s">
        <v>153</v>
      </c>
      <c r="G43">
        <v>5164</v>
      </c>
    </row>
    <row r="44" spans="1:7">
      <c r="B44" t="s">
        <v>44</v>
      </c>
      <c r="C44">
        <v>5253</v>
      </c>
    </row>
  </sheetData>
  <mergeCells count="1">
    <mergeCell ref="A1:L1"/>
  </mergeCells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154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0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15476</v>
      </c>
      <c r="F12">
        <v>15815</v>
      </c>
      <c r="H12">
        <v>0</v>
      </c>
      <c r="J12">
        <f>SUM(D12:F12:H12)</f>
        <v>31291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</v>
      </c>
      <c r="F14">
        <v>0</v>
      </c>
      <c r="H14">
        <v>0</v>
      </c>
      <c r="J14">
        <f>SUM(D14:F14:H14)</f>
        <v>2</v>
      </c>
    </row>
    <row r="15" spans="1:12">
      <c r="B15" t="s">
        <v>7</v>
      </c>
      <c r="D15">
        <f>SUM(D12:D13:D14)</f>
        <v>15478</v>
      </c>
      <c r="F15">
        <f>SUM(F12:F13:F14)</f>
        <v>15815</v>
      </c>
      <c r="H15">
        <f>SUM(H12:H13:H14)</f>
        <v>0</v>
      </c>
      <c r="J15">
        <f>SUM(D15:F15:H15)</f>
        <v>31293</v>
      </c>
    </row>
    <row r="17" spans="1:10">
      <c r="A17" t="s">
        <v>17</v>
      </c>
    </row>
    <row r="18" spans="1:10">
      <c r="B18" t="s">
        <v>14</v>
      </c>
      <c r="D18">
        <v>12246</v>
      </c>
      <c r="F18">
        <v>14020</v>
      </c>
      <c r="H18">
        <v>0</v>
      </c>
      <c r="J18">
        <f>SUM(D18:F18:H18)</f>
        <v>26266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410</v>
      </c>
    </row>
    <row r="22" spans="1:10">
      <c r="B22" t="s">
        <v>7</v>
      </c>
      <c r="J22">
        <f>SUM(J18:J19:J21)</f>
        <v>26676</v>
      </c>
    </row>
    <row r="23" spans="1:10">
      <c r="A23" t="s">
        <v>20</v>
      </c>
      <c r="J23">
        <f>J22/J15*100</f>
        <v>85.245901639344254</v>
      </c>
    </row>
    <row r="25" spans="1:10">
      <c r="A25" t="s">
        <v>21</v>
      </c>
    </row>
    <row r="26" spans="1:10">
      <c r="B26" t="s">
        <v>22</v>
      </c>
      <c r="C26">
        <v>14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J22-14</f>
        <v>26662</v>
      </c>
    </row>
    <row r="29" spans="1:10">
      <c r="B29" t="s">
        <v>25</v>
      </c>
      <c r="C29">
        <v>1</v>
      </c>
    </row>
    <row r="31" spans="1:10">
      <c r="A31" t="s">
        <v>26</v>
      </c>
      <c r="C31">
        <v>46</v>
      </c>
    </row>
    <row r="32" spans="1:10">
      <c r="B32" t="s">
        <v>27</v>
      </c>
      <c r="C32">
        <v>680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155</v>
      </c>
      <c r="G42">
        <v>13525</v>
      </c>
    </row>
    <row r="43" spans="1:7">
      <c r="B43" t="s">
        <v>41</v>
      </c>
      <c r="C43" t="s">
        <v>42</v>
      </c>
      <c r="E43" t="s">
        <v>156</v>
      </c>
      <c r="G43">
        <v>10933</v>
      </c>
    </row>
    <row r="44" spans="1:7">
      <c r="B44" t="s">
        <v>44</v>
      </c>
      <c r="C44">
        <v>2592</v>
      </c>
    </row>
  </sheetData>
  <mergeCells count="1">
    <mergeCell ref="A1:L1"/>
  </mergeCells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157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12803</v>
      </c>
      <c r="F12">
        <v>13226</v>
      </c>
      <c r="H12">
        <v>0</v>
      </c>
      <c r="J12">
        <f>SUM(D12:F12:H12)</f>
        <v>26029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</v>
      </c>
      <c r="F14">
        <v>0</v>
      </c>
      <c r="H14">
        <v>0</v>
      </c>
      <c r="J14">
        <f>SUM(D14:F14:H14)</f>
        <v>1</v>
      </c>
    </row>
    <row r="15" spans="1:12">
      <c r="B15" t="s">
        <v>7</v>
      </c>
      <c r="D15">
        <f>SUM(D12:D13:D14)</f>
        <v>12804</v>
      </c>
      <c r="F15">
        <f>SUM(F12:F13:F14)</f>
        <v>13226</v>
      </c>
      <c r="H15">
        <f>SUM(H12:H13:H14)</f>
        <v>0</v>
      </c>
      <c r="J15">
        <f>SUM(D15:F15:H15)</f>
        <v>26030</v>
      </c>
    </row>
    <row r="17" spans="1:10">
      <c r="A17" t="s">
        <v>17</v>
      </c>
    </row>
    <row r="18" spans="1:10">
      <c r="B18" t="s">
        <v>14</v>
      </c>
      <c r="D18">
        <v>9970</v>
      </c>
      <c r="F18">
        <v>11290</v>
      </c>
      <c r="H18">
        <v>0</v>
      </c>
      <c r="J18">
        <f>SUM(D18:F18:H18)</f>
        <v>21260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460</v>
      </c>
    </row>
    <row r="22" spans="1:10">
      <c r="B22" t="s">
        <v>7</v>
      </c>
      <c r="J22">
        <f>SUM(J18:J19:J21)</f>
        <v>21720</v>
      </c>
    </row>
    <row r="23" spans="1:10">
      <c r="A23" t="s">
        <v>20</v>
      </c>
      <c r="J23">
        <f>J22/J15*100</f>
        <v>83.442182097579717</v>
      </c>
    </row>
    <row r="25" spans="1:10">
      <c r="A25" t="s">
        <v>21</v>
      </c>
    </row>
    <row r="26" spans="1:10">
      <c r="B26" t="s">
        <v>22</v>
      </c>
      <c r="C26">
        <v>52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J22-52</f>
        <v>21668</v>
      </c>
    </row>
    <row r="29" spans="1:10">
      <c r="B29" t="s">
        <v>25</v>
      </c>
      <c r="C29">
        <v>1</v>
      </c>
    </row>
    <row r="31" spans="1:10">
      <c r="A31" t="s">
        <v>26</v>
      </c>
      <c r="C31">
        <v>41</v>
      </c>
    </row>
    <row r="32" spans="1:10">
      <c r="B32" t="s">
        <v>27</v>
      </c>
      <c r="C32">
        <v>635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158</v>
      </c>
      <c r="G42">
        <v>12830</v>
      </c>
    </row>
    <row r="43" spans="1:7">
      <c r="B43" t="s">
        <v>41</v>
      </c>
      <c r="C43" t="s">
        <v>159</v>
      </c>
      <c r="E43" t="s">
        <v>160</v>
      </c>
      <c r="G43">
        <v>3742</v>
      </c>
    </row>
    <row r="44" spans="1:7">
      <c r="B44" t="s">
        <v>44</v>
      </c>
      <c r="C44">
        <v>9088</v>
      </c>
    </row>
  </sheetData>
  <mergeCells count="1">
    <mergeCell ref="A1:L1"/>
  </mergeCells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13739</v>
      </c>
      <c r="F12">
        <v>14494</v>
      </c>
      <c r="H12">
        <v>0</v>
      </c>
      <c r="J12">
        <f>SUM(D12:F12:H12)</f>
        <v>28233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9</v>
      </c>
      <c r="F14">
        <v>0</v>
      </c>
      <c r="H14">
        <v>0</v>
      </c>
      <c r="J14">
        <f>SUM(D14:F14:H14)</f>
        <v>9</v>
      </c>
    </row>
    <row r="15" spans="1:12">
      <c r="B15" t="s">
        <v>7</v>
      </c>
      <c r="D15">
        <f>SUM(D12:D13:D14)</f>
        <v>13748</v>
      </c>
      <c r="F15">
        <f>SUM(F12:F13:F14)</f>
        <v>14494</v>
      </c>
      <c r="H15">
        <f>SUM(H12:H13:H14)</f>
        <v>0</v>
      </c>
      <c r="J15">
        <f>SUM(D15:F15:H15)</f>
        <v>28242</v>
      </c>
    </row>
    <row r="17" spans="1:10">
      <c r="A17" t="s">
        <v>17</v>
      </c>
    </row>
    <row r="18" spans="1:10">
      <c r="B18" t="s">
        <v>14</v>
      </c>
      <c r="D18">
        <v>11895</v>
      </c>
      <c r="F18">
        <v>12959</v>
      </c>
      <c r="H18">
        <v>0</v>
      </c>
      <c r="J18">
        <f>SUM(D18:F18:H18)</f>
        <v>24854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532</v>
      </c>
    </row>
    <row r="22" spans="1:10">
      <c r="B22" t="s">
        <v>7</v>
      </c>
      <c r="J22">
        <f>SUM(J18:J19:J21)</f>
        <v>25386</v>
      </c>
    </row>
    <row r="23" spans="1:10">
      <c r="A23" t="s">
        <v>20</v>
      </c>
      <c r="J23">
        <f>J22/J15*100</f>
        <v>89.887401742086254</v>
      </c>
    </row>
    <row r="25" spans="1:10">
      <c r="A25" t="s">
        <v>21</v>
      </c>
    </row>
    <row r="26" spans="1:10">
      <c r="B26" t="s">
        <v>22</v>
      </c>
      <c r="C26">
        <v>9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J22-9</f>
        <v>25377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44</v>
      </c>
    </row>
    <row r="32" spans="1:10">
      <c r="B32" t="s">
        <v>27</v>
      </c>
      <c r="C32">
        <v>642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46</v>
      </c>
      <c r="E42" t="s">
        <v>162</v>
      </c>
      <c r="G42">
        <v>14575</v>
      </c>
    </row>
    <row r="43" spans="1:7">
      <c r="B43" t="s">
        <v>41</v>
      </c>
      <c r="C43" t="s">
        <v>42</v>
      </c>
      <c r="E43" t="s">
        <v>163</v>
      </c>
      <c r="G43">
        <v>9354</v>
      </c>
    </row>
    <row r="44" spans="1:7">
      <c r="B44" t="s">
        <v>44</v>
      </c>
      <c r="C44">
        <v>5221</v>
      </c>
    </row>
  </sheetData>
  <mergeCells count="1">
    <mergeCell ref="A1:L1"/>
  </mergeCells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2</v>
      </c>
      <c r="H5">
        <v>0</v>
      </c>
      <c r="J5">
        <f>SUM(D5:F5:H5)</f>
        <v>8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2</v>
      </c>
      <c r="J8">
        <f>SUM(D8:F8:E8)</f>
        <v>6</v>
      </c>
    </row>
    <row r="9" spans="1:12">
      <c r="A9" t="s">
        <v>12</v>
      </c>
      <c r="D9">
        <v>4</v>
      </c>
      <c r="F9">
        <v>1</v>
      </c>
      <c r="H9">
        <v>0</v>
      </c>
      <c r="J9">
        <f>SUM(D9:F9:E9)</f>
        <v>5</v>
      </c>
    </row>
    <row r="11" spans="1:12">
      <c r="A11" t="s">
        <v>13</v>
      </c>
    </row>
    <row r="12" spans="1:12">
      <c r="B12" t="s">
        <v>14</v>
      </c>
      <c r="D12">
        <v>12500</v>
      </c>
      <c r="F12">
        <v>13269</v>
      </c>
      <c r="H12">
        <v>0</v>
      </c>
      <c r="J12">
        <f>SUM(D12:F12:H12)</f>
        <v>25769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0</v>
      </c>
      <c r="F14">
        <v>0</v>
      </c>
      <c r="H14">
        <v>0</v>
      </c>
      <c r="J14">
        <f>SUM(D14:F14:H14)</f>
        <v>0</v>
      </c>
    </row>
    <row r="15" spans="1:12">
      <c r="B15" t="s">
        <v>7</v>
      </c>
      <c r="D15">
        <f>SUM(D12:D13:D14)</f>
        <v>12500</v>
      </c>
      <c r="F15">
        <f>SUM(F12:F13:F14)</f>
        <v>13269</v>
      </c>
      <c r="H15">
        <f>SUM(H12:H13:H14)</f>
        <v>0</v>
      </c>
      <c r="J15">
        <f>SUM(D15:F15:H15)</f>
        <v>25769</v>
      </c>
    </row>
    <row r="17" spans="1:10">
      <c r="A17" t="s">
        <v>17</v>
      </c>
    </row>
    <row r="18" spans="1:10">
      <c r="B18" t="s">
        <v>14</v>
      </c>
      <c r="D18">
        <v>10427</v>
      </c>
      <c r="F18">
        <v>11933</v>
      </c>
      <c r="H18">
        <v>0</v>
      </c>
      <c r="J18">
        <f>SUM(D18:F18:H18)</f>
        <v>22360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331</v>
      </c>
    </row>
    <row r="22" spans="1:10">
      <c r="B22" t="s">
        <v>7</v>
      </c>
      <c r="J22">
        <f>SUM(J18:J19:J21)</f>
        <v>22691</v>
      </c>
    </row>
    <row r="23" spans="1:10">
      <c r="A23" t="s">
        <v>20</v>
      </c>
      <c r="J23">
        <f>J22/J15*100</f>
        <v>88.055415421630642</v>
      </c>
    </row>
    <row r="25" spans="1:10">
      <c r="A25" t="s">
        <v>21</v>
      </c>
    </row>
    <row r="26" spans="1:10">
      <c r="B26" t="s">
        <v>22</v>
      </c>
      <c r="C26">
        <v>8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J22-8</f>
        <v>22683</v>
      </c>
    </row>
    <row r="29" spans="1:10">
      <c r="B29" t="s">
        <v>25</v>
      </c>
      <c r="C29">
        <v>1</v>
      </c>
    </row>
    <row r="31" spans="1:10">
      <c r="A31" t="s">
        <v>26</v>
      </c>
      <c r="C31">
        <v>43</v>
      </c>
    </row>
    <row r="32" spans="1:10">
      <c r="B32" t="s">
        <v>27</v>
      </c>
      <c r="C32">
        <v>599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69</v>
      </c>
      <c r="E42" t="s">
        <v>165</v>
      </c>
      <c r="G42">
        <v>7636</v>
      </c>
    </row>
    <row r="43" spans="1:7">
      <c r="B43" t="s">
        <v>41</v>
      </c>
      <c r="C43" t="s">
        <v>42</v>
      </c>
      <c r="E43" t="s">
        <v>166</v>
      </c>
      <c r="G43">
        <v>6699</v>
      </c>
    </row>
    <row r="44" spans="1:7">
      <c r="B44" t="s">
        <v>44</v>
      </c>
      <c r="C44">
        <v>937</v>
      </c>
    </row>
  </sheetData>
  <mergeCells count="1">
    <mergeCell ref="A1:L1"/>
  </mergeCells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1</v>
      </c>
      <c r="H5">
        <v>0</v>
      </c>
      <c r="J5">
        <f>SUM(D5:F5:H5)</f>
        <v>8</v>
      </c>
    </row>
    <row r="6" spans="1:12">
      <c r="A6" t="s">
        <v>9</v>
      </c>
      <c r="D6">
        <v>2</v>
      </c>
      <c r="F6">
        <v>0</v>
      </c>
      <c r="H6">
        <v>0</v>
      </c>
      <c r="J6">
        <f>SUM(D6:F6:H6)</f>
        <v>2</v>
      </c>
    </row>
    <row r="7" spans="1:12">
      <c r="A7" t="s">
        <v>10</v>
      </c>
      <c r="D7">
        <v>0</v>
      </c>
      <c r="F7">
        <v>1</v>
      </c>
      <c r="H7">
        <v>0</v>
      </c>
      <c r="J7">
        <f>SUM(D7:F7:H7)</f>
        <v>1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16414</v>
      </c>
      <c r="F12">
        <v>16810</v>
      </c>
      <c r="H12">
        <v>0</v>
      </c>
      <c r="J12">
        <f>SUM(D12:F12:H12)</f>
        <v>33224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8</v>
      </c>
      <c r="F14">
        <v>1</v>
      </c>
      <c r="H14">
        <v>0</v>
      </c>
      <c r="J14">
        <f>SUM(D14:F14:H14)</f>
        <v>9</v>
      </c>
    </row>
    <row r="15" spans="1:12">
      <c r="B15" t="s">
        <v>7</v>
      </c>
      <c r="D15">
        <f>SUM(D12:D13:D14)</f>
        <v>16422</v>
      </c>
      <c r="F15">
        <f>SUM(F12:F13:F14)</f>
        <v>16811</v>
      </c>
      <c r="H15">
        <f>SUM(H12:H13:H14)</f>
        <v>0</v>
      </c>
      <c r="J15">
        <f>SUM(D15:F15:H15)</f>
        <v>33233</v>
      </c>
    </row>
    <row r="17" spans="1:10">
      <c r="A17" t="s">
        <v>17</v>
      </c>
    </row>
    <row r="18" spans="1:10">
      <c r="B18" t="s">
        <v>14</v>
      </c>
      <c r="D18">
        <v>13097</v>
      </c>
      <c r="F18">
        <v>14667</v>
      </c>
      <c r="H18">
        <v>0</v>
      </c>
      <c r="J18">
        <f>SUM(D18:F18:H18)</f>
        <v>27764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758</v>
      </c>
    </row>
    <row r="22" spans="1:10">
      <c r="B22" t="s">
        <v>7</v>
      </c>
      <c r="J22">
        <f>SUM(J18:J19:J21)</f>
        <v>28522</v>
      </c>
    </row>
    <row r="23" spans="1:10">
      <c r="A23" t="s">
        <v>20</v>
      </c>
      <c r="J23">
        <f>J22/J15*100</f>
        <v>85.824331237023443</v>
      </c>
    </row>
    <row r="25" spans="1:10">
      <c r="A25" t="s">
        <v>21</v>
      </c>
    </row>
    <row r="26" spans="1:10">
      <c r="B26" t="s">
        <v>22</v>
      </c>
      <c r="C26">
        <v>33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J22-33</f>
        <v>28489</v>
      </c>
    </row>
    <row r="29" spans="1:10">
      <c r="B29" t="s">
        <v>25</v>
      </c>
      <c r="C29">
        <v>0</v>
      </c>
    </row>
    <row r="31" spans="1:10">
      <c r="A31" t="s">
        <v>26</v>
      </c>
      <c r="C31">
        <v>56</v>
      </c>
    </row>
    <row r="32" spans="1:10">
      <c r="B32" t="s">
        <v>27</v>
      </c>
      <c r="C32">
        <v>593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42770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168</v>
      </c>
      <c r="G42">
        <v>10853</v>
      </c>
    </row>
    <row r="43" spans="1:7">
      <c r="B43" t="s">
        <v>41</v>
      </c>
      <c r="C43" t="s">
        <v>42</v>
      </c>
      <c r="E43" t="s">
        <v>169</v>
      </c>
      <c r="G43">
        <v>8745</v>
      </c>
    </row>
    <row r="44" spans="1:7">
      <c r="B44" t="s">
        <v>44</v>
      </c>
      <c r="C44">
        <v>2108</v>
      </c>
    </row>
  </sheetData>
  <mergeCells count="1">
    <mergeCell ref="A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1  Mandrem</vt:lpstr>
      <vt:lpstr>2  Pernem </vt:lpstr>
      <vt:lpstr>3  Bicholim</vt:lpstr>
      <vt:lpstr>4  Tivim</vt:lpstr>
      <vt:lpstr>5  Mapusa</vt:lpstr>
      <vt:lpstr>6  Siolim</vt:lpstr>
      <vt:lpstr>7  Saligao</vt:lpstr>
      <vt:lpstr>8  Calangute</vt:lpstr>
      <vt:lpstr>9  Porvorim</vt:lpstr>
      <vt:lpstr>10  Aldona</vt:lpstr>
      <vt:lpstr>11  Panaji</vt:lpstr>
      <vt:lpstr>12  Taleigao</vt:lpstr>
      <vt:lpstr>13  St. Cruz</vt:lpstr>
      <vt:lpstr>14  St. Andre</vt:lpstr>
      <vt:lpstr>15  Cumbarjua</vt:lpstr>
      <vt:lpstr>16  Maem</vt:lpstr>
      <vt:lpstr>17  Sanquelim</vt:lpstr>
      <vt:lpstr>18  Poriem</vt:lpstr>
      <vt:lpstr>19  Valpoi</vt:lpstr>
      <vt:lpstr>20  Priol</vt:lpstr>
      <vt:lpstr>21  Ponda</vt:lpstr>
      <vt:lpstr>22  Siroda</vt:lpstr>
      <vt:lpstr>23  Marcaim</vt:lpstr>
      <vt:lpstr>24  Mormugao</vt:lpstr>
      <vt:lpstr>25  Vasco-da-gama</vt:lpstr>
      <vt:lpstr>26  Dabolim</vt:lpstr>
      <vt:lpstr>27  Cortalim</vt:lpstr>
      <vt:lpstr>28  Nuvem</vt:lpstr>
      <vt:lpstr>29  Curtorim</vt:lpstr>
      <vt:lpstr>30  Fatorda</vt:lpstr>
      <vt:lpstr>31  Margao</vt:lpstr>
      <vt:lpstr>32  Benaulim</vt:lpstr>
      <vt:lpstr>33  Navelim</vt:lpstr>
      <vt:lpstr>34  Cuncolim </vt:lpstr>
      <vt:lpstr>35  Velim</vt:lpstr>
      <vt:lpstr>36  Quepem</vt:lpstr>
      <vt:lpstr>37  Curchorem</vt:lpstr>
      <vt:lpstr>38  Sanvordem</vt:lpstr>
      <vt:lpstr>39  Sanguem</vt:lpstr>
      <vt:lpstr>40  Canacona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2017-04-12T06:01:30Z</dcterms:created>
  <dcterms:modified xsi:type="dcterms:W3CDTF">2017-04-12T06:19:14Z</dcterms:modified>
</cp:coreProperties>
</file>