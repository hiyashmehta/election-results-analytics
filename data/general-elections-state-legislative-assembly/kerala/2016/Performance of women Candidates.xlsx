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calcChain.xml><?xml version="1.0" encoding="utf-8"?>
<calcChain xmlns="http://schemas.openxmlformats.org/spreadsheetml/2006/main">
  <c r="I35" i="2"/>
  <c r="J35"/>
  <c r="I100"/>
  <c r="J100"/>
  <c r="I104"/>
  <c r="J104"/>
  <c r="I111"/>
  <c r="J111"/>
  <c r="I56"/>
  <c r="J56"/>
  <c r="I12"/>
  <c r="J12"/>
  <c r="I101"/>
  <c r="J101"/>
  <c r="I47"/>
  <c r="J47"/>
  <c r="I107"/>
  <c r="J107"/>
  <c r="I24"/>
  <c r="J24"/>
  <c r="I48"/>
  <c r="J48"/>
  <c r="I60"/>
  <c r="J60"/>
  <c r="I67"/>
  <c r="J67"/>
  <c r="I74"/>
  <c r="J74"/>
  <c r="I77"/>
  <c r="J77"/>
  <c r="I79"/>
  <c r="J79"/>
  <c r="I80"/>
  <c r="J80"/>
  <c r="I86"/>
  <c r="J86"/>
  <c r="I110"/>
  <c r="J110"/>
  <c r="I72"/>
  <c r="J72"/>
  <c r="I84"/>
  <c r="J84"/>
  <c r="I19"/>
  <c r="J19"/>
  <c r="I70"/>
  <c r="J70"/>
  <c r="I53"/>
  <c r="J53"/>
  <c r="I16"/>
  <c r="J16"/>
  <c r="I66"/>
  <c r="J66"/>
  <c r="I89"/>
  <c r="J89"/>
  <c r="I93"/>
  <c r="J93"/>
  <c r="I112"/>
  <c r="J112"/>
  <c r="I98"/>
  <c r="J98"/>
  <c r="I68"/>
  <c r="J68"/>
  <c r="I108"/>
  <c r="J108"/>
  <c r="I54"/>
  <c r="J54"/>
  <c r="I64"/>
  <c r="J64"/>
  <c r="I76"/>
  <c r="J76"/>
  <c r="I78"/>
  <c r="J78"/>
  <c r="I57"/>
  <c r="J57"/>
  <c r="I25"/>
  <c r="J25"/>
  <c r="I43"/>
  <c r="J43"/>
  <c r="I61"/>
  <c r="J61"/>
  <c r="I75"/>
  <c r="J75"/>
  <c r="I81"/>
  <c r="J81"/>
  <c r="I94"/>
  <c r="J94"/>
  <c r="I106"/>
  <c r="J106"/>
  <c r="I109"/>
  <c r="J109"/>
  <c r="I36"/>
  <c r="J36"/>
  <c r="I33"/>
  <c r="J33"/>
  <c r="I8"/>
  <c r="J8"/>
  <c r="I63"/>
  <c r="J63"/>
  <c r="I6"/>
  <c r="J6"/>
  <c r="I31"/>
  <c r="J31"/>
  <c r="I13"/>
  <c r="J13"/>
  <c r="I20"/>
  <c r="J20"/>
  <c r="I38"/>
  <c r="J38"/>
  <c r="I9"/>
  <c r="J9"/>
  <c r="I17"/>
  <c r="J17"/>
  <c r="I23"/>
  <c r="J23"/>
  <c r="I52"/>
  <c r="J52"/>
  <c r="I71"/>
  <c r="J71"/>
  <c r="I92"/>
  <c r="J92"/>
  <c r="I95"/>
  <c r="J95"/>
  <c r="I97"/>
  <c r="J97"/>
  <c r="I105"/>
  <c r="J105"/>
  <c r="I32"/>
  <c r="J32"/>
  <c r="I85"/>
  <c r="J85"/>
  <c r="I3"/>
  <c r="J3"/>
  <c r="I14"/>
  <c r="J14"/>
  <c r="I42"/>
  <c r="J42"/>
  <c r="I44"/>
  <c r="J44"/>
  <c r="I50"/>
  <c r="J50"/>
  <c r="I83"/>
  <c r="J83"/>
  <c r="I90"/>
  <c r="J90"/>
  <c r="I5"/>
  <c r="J5"/>
  <c r="I55"/>
  <c r="J55"/>
  <c r="I21"/>
  <c r="J21"/>
  <c r="I49"/>
  <c r="J49"/>
  <c r="I73"/>
  <c r="J73"/>
  <c r="I10"/>
  <c r="J10"/>
  <c r="I34"/>
  <c r="J34"/>
  <c r="I39"/>
  <c r="J39"/>
  <c r="I29"/>
  <c r="J29"/>
  <c r="I45"/>
  <c r="J45"/>
  <c r="I99"/>
  <c r="J99"/>
  <c r="I46"/>
  <c r="J46"/>
  <c r="I51"/>
  <c r="J51"/>
  <c r="I62"/>
  <c r="J62"/>
  <c r="I96"/>
  <c r="J96"/>
  <c r="I4"/>
  <c r="J4"/>
  <c r="I27"/>
  <c r="J27"/>
  <c r="I87"/>
  <c r="J87"/>
  <c r="I102"/>
  <c r="J102"/>
  <c r="I26"/>
  <c r="J26"/>
  <c r="I88"/>
  <c r="J88"/>
  <c r="I91"/>
  <c r="J91"/>
  <c r="I7"/>
  <c r="J7"/>
  <c r="I30"/>
  <c r="J30"/>
  <c r="I69"/>
  <c r="J69"/>
  <c r="I28"/>
  <c r="J28"/>
  <c r="I65"/>
  <c r="J65"/>
  <c r="I37"/>
  <c r="J37"/>
  <c r="I15"/>
  <c r="J15"/>
  <c r="I18"/>
  <c r="J18"/>
  <c r="I22"/>
  <c r="J22"/>
  <c r="I103"/>
  <c r="J103"/>
  <c r="I11"/>
  <c r="J11"/>
  <c r="I59"/>
  <c r="J59"/>
  <c r="I41"/>
  <c r="J41"/>
  <c r="I82"/>
  <c r="J82"/>
  <c r="I40"/>
  <c r="J40"/>
  <c r="I58"/>
  <c r="J58"/>
</calcChain>
</file>

<file path=xl/sharedStrings.xml><?xml version="1.0" encoding="utf-8"?>
<sst xmlns="http://schemas.openxmlformats.org/spreadsheetml/2006/main" count="563" uniqueCount="221">
  <si>
    <t>Performance Of Women Candidates</t>
  </si>
  <si>
    <t>Constituency Name</t>
  </si>
  <si>
    <t>Constituency No.</t>
  </si>
  <si>
    <t>Candidate No.</t>
  </si>
  <si>
    <t>Candidate Name</t>
  </si>
  <si>
    <t>Party Type</t>
  </si>
  <si>
    <t>Party Name</t>
  </si>
  <si>
    <t xml:space="preserve"> Vote Secured</t>
  </si>
  <si>
    <t xml:space="preserve"> Total Valid Votes</t>
  </si>
  <si>
    <t xml:space="preserve"> % of Votes Secured Over Total Electors</t>
  </si>
  <si>
    <t xml:space="preserve"> % of Votes Secured Over Total Votes Poled</t>
  </si>
  <si>
    <t xml:space="preserve"> Status</t>
  </si>
  <si>
    <t>Total Electors</t>
  </si>
  <si>
    <t>KOTTAKKAL</t>
  </si>
  <si>
    <t>BINDU DEVARAJAN</t>
  </si>
  <si>
    <t>Z</t>
  </si>
  <si>
    <t>IND</t>
  </si>
  <si>
    <t>FD</t>
  </si>
  <si>
    <t>CHIRAYINKEEZHU</t>
  </si>
  <si>
    <t>SANTHINI</t>
  </si>
  <si>
    <t>VATTIYOORKAVU</t>
  </si>
  <si>
    <t>BABY. D</t>
  </si>
  <si>
    <t>KOVALAM</t>
  </si>
  <si>
    <t>JAMEELA PRAKASAM</t>
  </si>
  <si>
    <t>S</t>
  </si>
  <si>
    <t>JD(S)</t>
  </si>
  <si>
    <t>L</t>
  </si>
  <si>
    <t>NATTIKA</t>
  </si>
  <si>
    <t>NINU K. B.</t>
  </si>
  <si>
    <t>PERAVOOR</t>
  </si>
  <si>
    <t>RADHAMANI NARAYANA KUMAR</t>
  </si>
  <si>
    <t>AMBILI.V</t>
  </si>
  <si>
    <t>U</t>
  </si>
  <si>
    <t>PDP</t>
  </si>
  <si>
    <t>CHITTUR</t>
  </si>
  <si>
    <t>SANTHA</t>
  </si>
  <si>
    <t>NEMOM</t>
  </si>
  <si>
    <t>SHAMLAJA BEEVI.B</t>
  </si>
  <si>
    <t>KOZHIKODE NORTH</t>
  </si>
  <si>
    <t>S JENNIFER</t>
  </si>
  <si>
    <t>SUCI</t>
  </si>
  <si>
    <t>A RAJEENA</t>
  </si>
  <si>
    <t>ANGAMALY</t>
  </si>
  <si>
    <t>M K KANJANAVALLY</t>
  </si>
  <si>
    <t>THRIPUNITHURA</t>
  </si>
  <si>
    <t>SUDHA M P</t>
  </si>
  <si>
    <t>THODUPUZHA</t>
  </si>
  <si>
    <t>NISHA JIMMY</t>
  </si>
  <si>
    <t>VAIKOM</t>
  </si>
  <si>
    <t>ANILA BOSE</t>
  </si>
  <si>
    <t>ETTUMANOOR</t>
  </si>
  <si>
    <t>ASHARAJ</t>
  </si>
  <si>
    <t>KOTTAYAM</t>
  </si>
  <si>
    <t>REJITHA JAYARAM</t>
  </si>
  <si>
    <t>MAVELIKARA</t>
  </si>
  <si>
    <t>ASHA.T</t>
  </si>
  <si>
    <t>KATTAKKADA</t>
  </si>
  <si>
    <t>S.MINI</t>
  </si>
  <si>
    <t>DEVIKULAM</t>
  </si>
  <si>
    <t>J RAJESWARY</t>
  </si>
  <si>
    <t>KAYAMKULAM</t>
  </si>
  <si>
    <t>G.VEENA</t>
  </si>
  <si>
    <t>KALPETTA</t>
  </si>
  <si>
    <t>SANDHYA N M</t>
  </si>
  <si>
    <t>THRIKKAKARA</t>
  </si>
  <si>
    <t>SILVI SUNIL</t>
  </si>
  <si>
    <t>THRISSUR</t>
  </si>
  <si>
    <t>SANTHAKUMARI K V</t>
  </si>
  <si>
    <t>IGP</t>
  </si>
  <si>
    <t>SULTHANBATHERY</t>
  </si>
  <si>
    <t>MADHAVI</t>
  </si>
  <si>
    <t>CPIM</t>
  </si>
  <si>
    <t>VYPEN</t>
  </si>
  <si>
    <t>MANJULADEVI</t>
  </si>
  <si>
    <t>RANNI</t>
  </si>
  <si>
    <t>GEETHAMMA MADHAVAN</t>
  </si>
  <si>
    <t>ADOOR</t>
  </si>
  <si>
    <t>AJITHA P</t>
  </si>
  <si>
    <t>SARASAMMA.T</t>
  </si>
  <si>
    <t>CHATHANNUR</t>
  </si>
  <si>
    <t>JAYAKALA L</t>
  </si>
  <si>
    <t>APOI</t>
  </si>
  <si>
    <t>PADMINI D NETTOOR</t>
  </si>
  <si>
    <t>ARUVIKKARA</t>
  </si>
  <si>
    <t>AJITHA.B</t>
  </si>
  <si>
    <t>RAJI MANI</t>
  </si>
  <si>
    <t>PARAVUR</t>
  </si>
  <si>
    <t>SARADA MOHAN</t>
  </si>
  <si>
    <t>N</t>
  </si>
  <si>
    <t>CPI</t>
  </si>
  <si>
    <t>PEERUMADE</t>
  </si>
  <si>
    <t>E S BIJIMOL</t>
  </si>
  <si>
    <t>W</t>
  </si>
  <si>
    <t>C K ASHA</t>
  </si>
  <si>
    <t>GEETHA GOPI</t>
  </si>
  <si>
    <t>KOZHIKODE SOUTH</t>
  </si>
  <si>
    <t>KAMALA PAVITHRAN</t>
  </si>
  <si>
    <t>BSP</t>
  </si>
  <si>
    <t>OTTAPALAM</t>
  </si>
  <si>
    <t>K T PADMINI</t>
  </si>
  <si>
    <t>JAYANTHI AVINASH</t>
  </si>
  <si>
    <t>P.J. AMBILY</t>
  </si>
  <si>
    <t>CHANGANASSERY</t>
  </si>
  <si>
    <t>RAJI RAJAN</t>
  </si>
  <si>
    <t>KUNNATHUR</t>
  </si>
  <si>
    <t>V. REMADEVI</t>
  </si>
  <si>
    <t>THIRUVANANTHAPURAM</t>
  </si>
  <si>
    <t>MOHANAMBIKA. D</t>
  </si>
  <si>
    <t>CHITHRALEKHA.E</t>
  </si>
  <si>
    <t>THAVANUR</t>
  </si>
  <si>
    <t>SONIA PINTO</t>
  </si>
  <si>
    <t>TIRURANGADI</t>
  </si>
  <si>
    <t>MINU MUMTHAZ</t>
  </si>
  <si>
    <t>WPOI</t>
  </si>
  <si>
    <t>THALASSERY</t>
  </si>
  <si>
    <t>JABEENA IRSHAD</t>
  </si>
  <si>
    <t>KALAMASSERY</t>
  </si>
  <si>
    <t>PREMA  G PISHARADY</t>
  </si>
  <si>
    <t>KANNUR</t>
  </si>
  <si>
    <t>C P RAHNA TEACHER</t>
  </si>
  <si>
    <t>MALAPPURAM</t>
  </si>
  <si>
    <t>E.C. AYISHA</t>
  </si>
  <si>
    <t>MANANTHAVADY</t>
  </si>
  <si>
    <t>LAKSHMI</t>
  </si>
  <si>
    <t>VADAKARA</t>
  </si>
  <si>
    <t>K.K.REMA T. P. HOUSE</t>
  </si>
  <si>
    <t>THRITHALA</t>
  </si>
  <si>
    <t>SUBAIDA ISHAC</t>
  </si>
  <si>
    <t>CPM</t>
  </si>
  <si>
    <t>KUTHUPARAMBA</t>
  </si>
  <si>
    <t>K K SHAILAJA TEACHER</t>
  </si>
  <si>
    <t>RUGMINI SUBRAHMANIAN</t>
  </si>
  <si>
    <t>KUTTIADI</t>
  </si>
  <si>
    <t>K.K. LATHIKA</t>
  </si>
  <si>
    <t>WADAKKANCHERY</t>
  </si>
  <si>
    <t>MARY THOMAS</t>
  </si>
  <si>
    <t>KUNNATHUNAD</t>
  </si>
  <si>
    <t>ADV. SHIJI SIVAJI</t>
  </si>
  <si>
    <t>ARANMULA</t>
  </si>
  <si>
    <t>VEENA GEORGE</t>
  </si>
  <si>
    <t>KOTTARAKKARA</t>
  </si>
  <si>
    <t>ADV. P.AISHA POTTY</t>
  </si>
  <si>
    <t>KUNDARA</t>
  </si>
  <si>
    <t>J.MERCY KUTTY AMMA</t>
  </si>
  <si>
    <t>DR. T.N.SEEMA</t>
  </si>
  <si>
    <t>ADV. K P SUMATHI</t>
  </si>
  <si>
    <t>ADV.U.PRATHIBHA HARI</t>
  </si>
  <si>
    <t>KANHANGAD</t>
  </si>
  <si>
    <t>DHANYA SURESH</t>
  </si>
  <si>
    <t>INC</t>
  </si>
  <si>
    <t>P K JAYALAKSHMI</t>
  </si>
  <si>
    <t>SHORNUR</t>
  </si>
  <si>
    <t>C.SANGEETHA</t>
  </si>
  <si>
    <t>ADV.SHANIMOL OSMAN</t>
  </si>
  <si>
    <t>CHELAKKARA</t>
  </si>
  <si>
    <t>THULASI</t>
  </si>
  <si>
    <t>ALAPPUZHA</t>
  </si>
  <si>
    <t>ADV.LALY VINCENT</t>
  </si>
  <si>
    <t>MARIAMMA CHERIAN</t>
  </si>
  <si>
    <t>KALLIASSERI</t>
  </si>
  <si>
    <t>AMRITHA RAMAKRISHNAN</t>
  </si>
  <si>
    <t>PADMAJA VENUGOPAL</t>
  </si>
  <si>
    <t>T. P. RAMA VADAKKE EROTH</t>
  </si>
  <si>
    <t>NENMARA</t>
  </si>
  <si>
    <t>MENAKA.K</t>
  </si>
  <si>
    <t>ADMK</t>
  </si>
  <si>
    <t>R M DHANALAKSHMY</t>
  </si>
  <si>
    <t>SHYLAJA NELLIYULLA PARAMBATH</t>
  </si>
  <si>
    <t>P.V GEETHA MADHAVAN</t>
  </si>
  <si>
    <t>BJP</t>
  </si>
  <si>
    <t>PROF.V.T.REMA</t>
  </si>
  <si>
    <t>WANDOOR</t>
  </si>
  <si>
    <t>SUNITHA MOHANDAS</t>
  </si>
  <si>
    <t>KONGAD</t>
  </si>
  <si>
    <t>RENU SURESH</t>
  </si>
  <si>
    <t>ATTINGAL</t>
  </si>
  <si>
    <t>RAJI PRASAD</t>
  </si>
  <si>
    <t>PALAKKAD</t>
  </si>
  <si>
    <t>SOBHA  SURENDRAN</t>
  </si>
  <si>
    <t>GURUVAYOOR</t>
  </si>
  <si>
    <t>ADV. NIVEDIDA</t>
  </si>
  <si>
    <t>ALUVA</t>
  </si>
  <si>
    <t>LATHA GANGADHARAN</t>
  </si>
  <si>
    <t>RAJESWARY RAJENDRAN</t>
  </si>
  <si>
    <t>PAYYANNUR</t>
  </si>
  <si>
    <t>ANIAMMA TEACHER</t>
  </si>
  <si>
    <t>KONDOTTY</t>
  </si>
  <si>
    <t>KADEEJA</t>
  </si>
  <si>
    <t>CHENGANNUR</t>
  </si>
  <si>
    <t>SOBHANA GEORGE</t>
  </si>
  <si>
    <t>KAZHAKKOOTTAM</t>
  </si>
  <si>
    <t>SASIKALA</t>
  </si>
  <si>
    <t>U.K.DEYSI BALASUBRAHMANYAN</t>
  </si>
  <si>
    <t>SDPI</t>
  </si>
  <si>
    <t>THIRUVALLA</t>
  </si>
  <si>
    <t>ADV.SIMI M JACOB</t>
  </si>
  <si>
    <t>FAWSEENA THAKBEER</t>
  </si>
  <si>
    <t>SUFIRA K P</t>
  </si>
  <si>
    <t>PERINTHALMANNA</t>
  </si>
  <si>
    <t>SUNIYA SIRAJ</t>
  </si>
  <si>
    <t>SONIA JOSE</t>
  </si>
  <si>
    <t>ERANAD</t>
  </si>
  <si>
    <t>SHAHANAS</t>
  </si>
  <si>
    <t>SHINSA SELVARAJ</t>
  </si>
  <si>
    <t>PONNANI</t>
  </si>
  <si>
    <t>SINDHUKUMARI P S</t>
  </si>
  <si>
    <t>USHA K</t>
  </si>
  <si>
    <t>C K JANU</t>
  </si>
  <si>
    <t>K.K.REMA KUNIYIL</t>
  </si>
  <si>
    <t>MANIMEKHALA</t>
  </si>
  <si>
    <t>SHYLAJA PRASANTH</t>
  </si>
  <si>
    <t>KODUNGALLUR</t>
  </si>
  <si>
    <t>SANGEETHA</t>
  </si>
  <si>
    <t>BDJS</t>
  </si>
  <si>
    <t>PATTAMBI</t>
  </si>
  <si>
    <t>NOBY AUGUSTINE</t>
  </si>
  <si>
    <t>POONJAR</t>
  </si>
  <si>
    <t>ADV. INDULEKHA JOSEPH</t>
  </si>
  <si>
    <t>SUBAIDA</t>
  </si>
  <si>
    <t>CHALAKKUDY</t>
  </si>
  <si>
    <t>A. E. SABIRA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</si>
</sst>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tabSelected="1" workbookViewId="0">
      <selection activeCell="O7" sqref="O7"/>
    </sheetView>
  </sheetViews>
  <sheetFormatPr defaultRowHeight="15"/>
  <cols>
    <col min="1" max="1" width="16.85546875" customWidth="1"/>
    <col min="2" max="2" width="12.28515625" customWidth="1"/>
    <col min="3" max="3" width="10.28515625" customWidth="1"/>
    <col min="4" max="4" width="31.7109375" customWidth="1"/>
    <col min="9" max="9" width="11.5703125" customWidth="1"/>
    <col min="10" max="10" width="12.710937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1" customFormat="1" ht="61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t="s">
        <v>147</v>
      </c>
      <c r="B3">
        <v>4</v>
      </c>
      <c r="C3">
        <v>3</v>
      </c>
      <c r="D3" t="s">
        <v>148</v>
      </c>
      <c r="E3" t="s">
        <v>88</v>
      </c>
      <c r="F3" t="s">
        <v>149</v>
      </c>
      <c r="G3">
        <v>54547</v>
      </c>
      <c r="H3">
        <v>161189</v>
      </c>
      <c r="I3">
        <f>G3/L3*100</f>
        <v>26.617251660314935</v>
      </c>
      <c r="J3">
        <f>G3/H3*100</f>
        <v>33.840398538361796</v>
      </c>
      <c r="K3" t="s">
        <v>26</v>
      </c>
      <c r="L3">
        <v>204931</v>
      </c>
    </row>
    <row r="4" spans="1:12">
      <c r="A4" t="s">
        <v>184</v>
      </c>
      <c r="B4">
        <v>6</v>
      </c>
      <c r="C4">
        <v>1</v>
      </c>
      <c r="D4" t="s">
        <v>185</v>
      </c>
      <c r="E4" t="s">
        <v>88</v>
      </c>
      <c r="F4" t="s">
        <v>169</v>
      </c>
      <c r="G4">
        <v>15341</v>
      </c>
      <c r="H4">
        <v>143442</v>
      </c>
      <c r="I4">
        <f>G4/L4*100</f>
        <v>8.7443997309590848</v>
      </c>
      <c r="J4">
        <f>G4/H4*100</f>
        <v>10.694915017916649</v>
      </c>
      <c r="K4" t="s">
        <v>17</v>
      </c>
      <c r="L4">
        <v>175438</v>
      </c>
    </row>
    <row r="5" spans="1:12">
      <c r="A5" t="s">
        <v>159</v>
      </c>
      <c r="B5">
        <v>7</v>
      </c>
      <c r="C5">
        <v>1</v>
      </c>
      <c r="D5" t="s">
        <v>160</v>
      </c>
      <c r="E5" t="s">
        <v>88</v>
      </c>
      <c r="F5" t="s">
        <v>149</v>
      </c>
      <c r="G5">
        <v>40115</v>
      </c>
      <c r="H5">
        <v>138747</v>
      </c>
      <c r="I5">
        <f>G5/L5*100</f>
        <v>22.648359031396616</v>
      </c>
      <c r="J5">
        <f>G5/H5*100</f>
        <v>28.912336843319135</v>
      </c>
      <c r="K5" t="s">
        <v>26</v>
      </c>
      <c r="L5">
        <v>177121</v>
      </c>
    </row>
    <row r="6" spans="1:12">
      <c r="A6" t="s">
        <v>118</v>
      </c>
      <c r="B6">
        <v>11</v>
      </c>
      <c r="C6">
        <v>5</v>
      </c>
      <c r="D6" t="s">
        <v>119</v>
      </c>
      <c r="E6" t="s">
        <v>32</v>
      </c>
      <c r="F6" t="s">
        <v>113</v>
      </c>
      <c r="G6">
        <v>1134</v>
      </c>
      <c r="H6">
        <v>126219</v>
      </c>
      <c r="I6">
        <f>G6/L6*100</f>
        <v>0.69483165344199016</v>
      </c>
      <c r="J6">
        <f>G6/H6*100</f>
        <v>0.89843842844579658</v>
      </c>
      <c r="K6" t="s">
        <v>17</v>
      </c>
      <c r="L6">
        <v>163205</v>
      </c>
    </row>
    <row r="7" spans="1:12">
      <c r="A7" t="s">
        <v>118</v>
      </c>
      <c r="B7">
        <v>11</v>
      </c>
      <c r="C7">
        <v>4</v>
      </c>
      <c r="D7" t="s">
        <v>197</v>
      </c>
      <c r="E7" t="s">
        <v>32</v>
      </c>
      <c r="F7" t="s">
        <v>193</v>
      </c>
      <c r="G7">
        <v>2551</v>
      </c>
      <c r="H7">
        <v>126219</v>
      </c>
      <c r="I7">
        <f>G7/L7*100</f>
        <v>1.5630648570815846</v>
      </c>
      <c r="J7">
        <f>G7/H7*100</f>
        <v>2.0210903271298299</v>
      </c>
      <c r="K7" t="s">
        <v>17</v>
      </c>
      <c r="L7">
        <v>163205</v>
      </c>
    </row>
    <row r="8" spans="1:12">
      <c r="A8" t="s">
        <v>114</v>
      </c>
      <c r="B8">
        <v>13</v>
      </c>
      <c r="C8">
        <v>4</v>
      </c>
      <c r="D8" t="s">
        <v>115</v>
      </c>
      <c r="E8" t="s">
        <v>32</v>
      </c>
      <c r="F8" t="s">
        <v>113</v>
      </c>
      <c r="G8">
        <v>1337</v>
      </c>
      <c r="H8">
        <v>132666</v>
      </c>
      <c r="I8">
        <f>G8/L8*100</f>
        <v>0.80048376281252986</v>
      </c>
      <c r="J8">
        <f>G8/H8*100</f>
        <v>1.0077940090151207</v>
      </c>
      <c r="K8" t="s">
        <v>17</v>
      </c>
      <c r="L8">
        <v>167024</v>
      </c>
    </row>
    <row r="9" spans="1:12">
      <c r="A9" t="s">
        <v>129</v>
      </c>
      <c r="B9">
        <v>14</v>
      </c>
      <c r="C9">
        <v>1</v>
      </c>
      <c r="D9" t="s">
        <v>130</v>
      </c>
      <c r="E9" t="s">
        <v>88</v>
      </c>
      <c r="F9" t="s">
        <v>128</v>
      </c>
      <c r="G9">
        <v>67013</v>
      </c>
      <c r="H9">
        <v>146824</v>
      </c>
      <c r="I9">
        <f>G9/L9*100</f>
        <v>37.00433474143405</v>
      </c>
      <c r="J9">
        <f>G9/H9*100</f>
        <v>45.641720699613145</v>
      </c>
      <c r="K9" t="s">
        <v>92</v>
      </c>
      <c r="L9">
        <v>181095</v>
      </c>
    </row>
    <row r="10" spans="1:12">
      <c r="A10" t="s">
        <v>129</v>
      </c>
      <c r="B10">
        <v>14</v>
      </c>
      <c r="C10">
        <v>9</v>
      </c>
      <c r="D10" t="s">
        <v>167</v>
      </c>
      <c r="E10" t="s">
        <v>15</v>
      </c>
      <c r="F10" t="s">
        <v>16</v>
      </c>
      <c r="G10">
        <v>163</v>
      </c>
      <c r="H10">
        <v>146824</v>
      </c>
      <c r="I10">
        <f>G10/L10*100</f>
        <v>9.0008006847234881E-2</v>
      </c>
      <c r="J10">
        <f>G10/H10*100</f>
        <v>0.11101727238053724</v>
      </c>
      <c r="K10" t="s">
        <v>17</v>
      </c>
      <c r="L10">
        <v>181095</v>
      </c>
    </row>
    <row r="11" spans="1:12">
      <c r="A11" t="s">
        <v>129</v>
      </c>
      <c r="B11">
        <v>14</v>
      </c>
      <c r="C11">
        <v>8</v>
      </c>
      <c r="D11" t="s">
        <v>210</v>
      </c>
      <c r="E11" t="s">
        <v>15</v>
      </c>
      <c r="F11" t="s">
        <v>16</v>
      </c>
      <c r="G11">
        <v>265</v>
      </c>
      <c r="H11">
        <v>146824</v>
      </c>
      <c r="I11">
        <f>G11/L11*100</f>
        <v>0.14633203567188494</v>
      </c>
      <c r="J11">
        <f>G11/H11*100</f>
        <v>0.18048820356345013</v>
      </c>
      <c r="K11" t="s">
        <v>17</v>
      </c>
      <c r="L11">
        <v>181095</v>
      </c>
    </row>
    <row r="12" spans="1:12">
      <c r="A12" t="s">
        <v>29</v>
      </c>
      <c r="B12">
        <v>16</v>
      </c>
      <c r="C12">
        <v>9</v>
      </c>
      <c r="D12" t="s">
        <v>30</v>
      </c>
      <c r="E12" t="s">
        <v>15</v>
      </c>
      <c r="F12" t="s">
        <v>16</v>
      </c>
      <c r="G12">
        <v>63</v>
      </c>
      <c r="H12">
        <v>136505</v>
      </c>
      <c r="I12">
        <f>G12/L12*100</f>
        <v>3.7398045803701811E-2</v>
      </c>
      <c r="J12">
        <f>G12/H12*100</f>
        <v>4.6152155598696017E-2</v>
      </c>
      <c r="K12" t="s">
        <v>17</v>
      </c>
      <c r="L12">
        <v>168458</v>
      </c>
    </row>
    <row r="13" spans="1:12">
      <c r="A13" t="s">
        <v>122</v>
      </c>
      <c r="B13">
        <v>17</v>
      </c>
      <c r="C13">
        <v>11</v>
      </c>
      <c r="D13" t="s">
        <v>123</v>
      </c>
      <c r="E13" t="s">
        <v>15</v>
      </c>
      <c r="F13" t="s">
        <v>16</v>
      </c>
      <c r="G13">
        <v>1300</v>
      </c>
      <c r="H13">
        <v>145592</v>
      </c>
      <c r="I13">
        <f>G13/L13*100</f>
        <v>0.69237324243715381</v>
      </c>
      <c r="J13">
        <f>G13/H13*100</f>
        <v>0.89290620363756246</v>
      </c>
      <c r="K13" t="s">
        <v>17</v>
      </c>
      <c r="L13">
        <v>187760</v>
      </c>
    </row>
    <row r="14" spans="1:12">
      <c r="A14" t="s">
        <v>122</v>
      </c>
      <c r="B14">
        <v>17</v>
      </c>
      <c r="C14">
        <v>3</v>
      </c>
      <c r="D14" t="s">
        <v>150</v>
      </c>
      <c r="E14" t="s">
        <v>88</v>
      </c>
      <c r="F14" t="s">
        <v>149</v>
      </c>
      <c r="G14">
        <v>61129</v>
      </c>
      <c r="H14">
        <v>145592</v>
      </c>
      <c r="I14">
        <f>G14/L14*100</f>
        <v>32.556987643800596</v>
      </c>
      <c r="J14">
        <f>G14/H14*100</f>
        <v>41.986510247815815</v>
      </c>
      <c r="K14" t="s">
        <v>26</v>
      </c>
      <c r="L14">
        <v>187760</v>
      </c>
    </row>
    <row r="15" spans="1:12">
      <c r="A15" t="s">
        <v>122</v>
      </c>
      <c r="B15">
        <v>17</v>
      </c>
      <c r="C15">
        <v>7</v>
      </c>
      <c r="D15" t="s">
        <v>206</v>
      </c>
      <c r="E15" t="s">
        <v>15</v>
      </c>
      <c r="F15" t="s">
        <v>16</v>
      </c>
      <c r="G15">
        <v>205</v>
      </c>
      <c r="H15">
        <v>145592</v>
      </c>
      <c r="I15">
        <f>G15/L15*100</f>
        <v>0.1091819343843204</v>
      </c>
      <c r="J15">
        <f>G15/H15*100</f>
        <v>0.14080443980438484</v>
      </c>
      <c r="K15" t="s">
        <v>17</v>
      </c>
      <c r="L15">
        <v>187760</v>
      </c>
    </row>
    <row r="16" spans="1:12">
      <c r="A16" t="s">
        <v>69</v>
      </c>
      <c r="B16">
        <v>18</v>
      </c>
      <c r="C16">
        <v>4</v>
      </c>
      <c r="D16" t="s">
        <v>70</v>
      </c>
      <c r="E16" t="s">
        <v>32</v>
      </c>
      <c r="F16" t="s">
        <v>71</v>
      </c>
      <c r="G16">
        <v>609</v>
      </c>
      <c r="H16">
        <v>172004</v>
      </c>
      <c r="I16">
        <f>G16/L16*100</f>
        <v>0.27904930787523885</v>
      </c>
      <c r="J16">
        <f>G16/H16*100</f>
        <v>0.35406153345271041</v>
      </c>
      <c r="K16" t="s">
        <v>17</v>
      </c>
      <c r="L16">
        <v>218241</v>
      </c>
    </row>
    <row r="17" spans="1:12">
      <c r="A17" t="s">
        <v>69</v>
      </c>
      <c r="B17">
        <v>18</v>
      </c>
      <c r="C17">
        <v>3</v>
      </c>
      <c r="D17" t="s">
        <v>131</v>
      </c>
      <c r="E17" t="s">
        <v>88</v>
      </c>
      <c r="F17" t="s">
        <v>128</v>
      </c>
      <c r="G17">
        <v>64549</v>
      </c>
      <c r="H17">
        <v>172004</v>
      </c>
      <c r="I17">
        <f>G17/L17*100</f>
        <v>29.576935589554665</v>
      </c>
      <c r="J17">
        <f>G17/H17*100</f>
        <v>37.52761563684566</v>
      </c>
      <c r="K17" t="s">
        <v>26</v>
      </c>
      <c r="L17">
        <v>218241</v>
      </c>
    </row>
    <row r="18" spans="1:12">
      <c r="A18" t="s">
        <v>69</v>
      </c>
      <c r="B18">
        <v>18</v>
      </c>
      <c r="C18">
        <v>7</v>
      </c>
      <c r="D18" t="s">
        <v>207</v>
      </c>
      <c r="E18" t="s">
        <v>15</v>
      </c>
      <c r="F18" t="s">
        <v>16</v>
      </c>
      <c r="G18">
        <v>27920</v>
      </c>
      <c r="H18">
        <v>172004</v>
      </c>
      <c r="I18">
        <f>G18/L18*100</f>
        <v>12.793196512112756</v>
      </c>
      <c r="J18">
        <f>G18/H18*100</f>
        <v>16.232180646961698</v>
      </c>
      <c r="K18" t="s">
        <v>17</v>
      </c>
      <c r="L18">
        <v>218241</v>
      </c>
    </row>
    <row r="19" spans="1:12">
      <c r="A19" t="s">
        <v>62</v>
      </c>
      <c r="B19">
        <v>19</v>
      </c>
      <c r="C19">
        <v>10</v>
      </c>
      <c r="D19" t="s">
        <v>63</v>
      </c>
      <c r="E19" t="s">
        <v>15</v>
      </c>
      <c r="F19" t="s">
        <v>16</v>
      </c>
      <c r="G19">
        <v>214</v>
      </c>
      <c r="H19">
        <v>150907</v>
      </c>
      <c r="I19">
        <f>G19/L19*100</f>
        <v>0.11207826624349264</v>
      </c>
      <c r="J19">
        <f>G19/H19*100</f>
        <v>0.14180919374184101</v>
      </c>
      <c r="K19" t="s">
        <v>17</v>
      </c>
      <c r="L19">
        <v>190938</v>
      </c>
    </row>
    <row r="20" spans="1:12">
      <c r="A20" t="s">
        <v>124</v>
      </c>
      <c r="B20">
        <v>20</v>
      </c>
      <c r="C20">
        <v>10</v>
      </c>
      <c r="D20" t="s">
        <v>125</v>
      </c>
      <c r="E20" t="s">
        <v>15</v>
      </c>
      <c r="F20" t="s">
        <v>16</v>
      </c>
      <c r="G20">
        <v>20504</v>
      </c>
      <c r="H20">
        <v>129572</v>
      </c>
      <c r="I20">
        <f>G20/L20*100</f>
        <v>12.903144606593795</v>
      </c>
      <c r="J20">
        <f>G20/H20*100</f>
        <v>15.824406507578798</v>
      </c>
      <c r="K20" t="s">
        <v>17</v>
      </c>
      <c r="L20">
        <v>158907</v>
      </c>
    </row>
    <row r="21" spans="1:12">
      <c r="A21" t="s">
        <v>124</v>
      </c>
      <c r="B21">
        <v>20</v>
      </c>
      <c r="C21">
        <v>11</v>
      </c>
      <c r="D21" t="s">
        <v>162</v>
      </c>
      <c r="E21" t="s">
        <v>15</v>
      </c>
      <c r="F21" t="s">
        <v>16</v>
      </c>
      <c r="G21">
        <v>238</v>
      </c>
      <c r="H21">
        <v>129572</v>
      </c>
      <c r="I21">
        <f>G21/L21*100</f>
        <v>0.1497731377472358</v>
      </c>
      <c r="J21">
        <f>G21/H21*100</f>
        <v>0.18368165961781868</v>
      </c>
      <c r="K21" t="s">
        <v>17</v>
      </c>
      <c r="L21">
        <v>158907</v>
      </c>
    </row>
    <row r="22" spans="1:12">
      <c r="A22" t="s">
        <v>124</v>
      </c>
      <c r="B22">
        <v>20</v>
      </c>
      <c r="C22">
        <v>9</v>
      </c>
      <c r="D22" t="s">
        <v>208</v>
      </c>
      <c r="E22" t="s">
        <v>15</v>
      </c>
      <c r="F22" t="s">
        <v>16</v>
      </c>
      <c r="G22">
        <v>352</v>
      </c>
      <c r="H22">
        <v>129572</v>
      </c>
      <c r="I22">
        <f>G22/L22*100</f>
        <v>0.22151321213036557</v>
      </c>
      <c r="J22">
        <f>G22/H22*100</f>
        <v>0.27166363103139568</v>
      </c>
      <c r="K22" t="s">
        <v>17</v>
      </c>
      <c r="L22">
        <v>158907</v>
      </c>
    </row>
    <row r="23" spans="1:12">
      <c r="A23" t="s">
        <v>132</v>
      </c>
      <c r="B23">
        <v>21</v>
      </c>
      <c r="C23">
        <v>3</v>
      </c>
      <c r="D23" t="s">
        <v>133</v>
      </c>
      <c r="E23" t="s">
        <v>88</v>
      </c>
      <c r="F23" t="s">
        <v>128</v>
      </c>
      <c r="G23">
        <v>70652</v>
      </c>
      <c r="H23">
        <v>157810</v>
      </c>
      <c r="I23">
        <f>G23/L23*100</f>
        <v>38.270949569362436</v>
      </c>
      <c r="J23">
        <f>G23/H23*100</f>
        <v>44.770293390786385</v>
      </c>
      <c r="K23" t="s">
        <v>26</v>
      </c>
      <c r="L23">
        <v>184610</v>
      </c>
    </row>
    <row r="24" spans="1:12">
      <c r="A24" t="s">
        <v>38</v>
      </c>
      <c r="B24">
        <v>27</v>
      </c>
      <c r="C24">
        <v>7</v>
      </c>
      <c r="D24" t="s">
        <v>39</v>
      </c>
      <c r="E24" t="s">
        <v>32</v>
      </c>
      <c r="F24" t="s">
        <v>40</v>
      </c>
      <c r="G24">
        <v>208</v>
      </c>
      <c r="H24">
        <v>132617</v>
      </c>
      <c r="I24">
        <f>G24/L24*100</f>
        <v>0.12253169329374616</v>
      </c>
      <c r="J24">
        <f>G24/H24*100</f>
        <v>0.15684263706764592</v>
      </c>
      <c r="K24" t="s">
        <v>17</v>
      </c>
      <c r="L24">
        <v>169752</v>
      </c>
    </row>
    <row r="25" spans="1:12">
      <c r="A25" t="s">
        <v>95</v>
      </c>
      <c r="B25">
        <v>28</v>
      </c>
      <c r="C25">
        <v>1</v>
      </c>
      <c r="D25" t="s">
        <v>96</v>
      </c>
      <c r="E25" t="s">
        <v>88</v>
      </c>
      <c r="F25" t="s">
        <v>97</v>
      </c>
      <c r="G25">
        <v>480</v>
      </c>
      <c r="H25">
        <v>115617</v>
      </c>
      <c r="I25">
        <f>G25/L25*100</f>
        <v>0.32203094180632524</v>
      </c>
      <c r="J25">
        <f>G25/H25*100</f>
        <v>0.4151638599859882</v>
      </c>
      <c r="K25" t="s">
        <v>17</v>
      </c>
      <c r="L25">
        <v>149054</v>
      </c>
    </row>
    <row r="26" spans="1:12">
      <c r="A26" t="s">
        <v>95</v>
      </c>
      <c r="B26">
        <v>28</v>
      </c>
      <c r="C26">
        <v>4</v>
      </c>
      <c r="D26" t="s">
        <v>192</v>
      </c>
      <c r="E26" t="s">
        <v>32</v>
      </c>
      <c r="F26" t="s">
        <v>193</v>
      </c>
      <c r="G26">
        <v>593</v>
      </c>
      <c r="H26">
        <v>115617</v>
      </c>
      <c r="I26">
        <f>G26/L26*100</f>
        <v>0.39784239268989763</v>
      </c>
      <c r="J26">
        <f>G26/H26*100</f>
        <v>0.51290035202435624</v>
      </c>
      <c r="K26" t="s">
        <v>17</v>
      </c>
      <c r="L26">
        <v>149054</v>
      </c>
    </row>
    <row r="27" spans="1:12">
      <c r="A27" t="s">
        <v>186</v>
      </c>
      <c r="B27">
        <v>33</v>
      </c>
      <c r="C27">
        <v>7</v>
      </c>
      <c r="D27" t="s">
        <v>187</v>
      </c>
      <c r="E27" t="s">
        <v>15</v>
      </c>
      <c r="F27" t="s">
        <v>16</v>
      </c>
      <c r="G27">
        <v>267</v>
      </c>
      <c r="H27">
        <v>149554</v>
      </c>
      <c r="I27">
        <f>G27/L27*100</f>
        <v>0.14175134584142962</v>
      </c>
      <c r="J27">
        <f>G27/H27*100</f>
        <v>0.17853083167284059</v>
      </c>
      <c r="K27" t="s">
        <v>17</v>
      </c>
      <c r="L27">
        <v>188358</v>
      </c>
    </row>
    <row r="28" spans="1:12">
      <c r="A28" t="s">
        <v>201</v>
      </c>
      <c r="B28">
        <v>34</v>
      </c>
      <c r="C28">
        <v>10</v>
      </c>
      <c r="D28" t="s">
        <v>202</v>
      </c>
      <c r="E28" t="s">
        <v>15</v>
      </c>
      <c r="F28" t="s">
        <v>16</v>
      </c>
      <c r="G28">
        <v>193</v>
      </c>
      <c r="H28">
        <v>135850</v>
      </c>
      <c r="I28">
        <f>G28/L28*100</f>
        <v>0.11623425116234251</v>
      </c>
      <c r="J28">
        <f>G28/H28*100</f>
        <v>0.14206845785793154</v>
      </c>
      <c r="K28" t="s">
        <v>17</v>
      </c>
      <c r="L28">
        <v>166044</v>
      </c>
    </row>
    <row r="29" spans="1:12">
      <c r="A29" t="s">
        <v>171</v>
      </c>
      <c r="B29">
        <v>36</v>
      </c>
      <c r="C29">
        <v>3</v>
      </c>
      <c r="D29" t="s">
        <v>172</v>
      </c>
      <c r="E29" t="s">
        <v>88</v>
      </c>
      <c r="F29" t="s">
        <v>169</v>
      </c>
      <c r="G29">
        <v>9471</v>
      </c>
      <c r="H29">
        <v>155840</v>
      </c>
      <c r="I29">
        <f>G29/L29*100</f>
        <v>4.5068023164516609</v>
      </c>
      <c r="J29">
        <f>G29/H29*100</f>
        <v>6.0773870636550305</v>
      </c>
      <c r="K29" t="s">
        <v>17</v>
      </c>
      <c r="L29">
        <v>210149</v>
      </c>
    </row>
    <row r="30" spans="1:12">
      <c r="A30" t="s">
        <v>198</v>
      </c>
      <c r="B30">
        <v>38</v>
      </c>
      <c r="C30">
        <v>6</v>
      </c>
      <c r="D30" t="s">
        <v>199</v>
      </c>
      <c r="E30" t="s">
        <v>32</v>
      </c>
      <c r="F30" t="s">
        <v>193</v>
      </c>
      <c r="G30">
        <v>698</v>
      </c>
      <c r="H30">
        <v>151411</v>
      </c>
      <c r="I30">
        <f>G30/L30*100</f>
        <v>0.35799277859839163</v>
      </c>
      <c r="J30">
        <f>G30/H30*100</f>
        <v>0.46099688926167848</v>
      </c>
      <c r="K30" t="s">
        <v>17</v>
      </c>
      <c r="L30">
        <v>194976</v>
      </c>
    </row>
    <row r="31" spans="1:12">
      <c r="A31" t="s">
        <v>120</v>
      </c>
      <c r="B31">
        <v>40</v>
      </c>
      <c r="C31">
        <v>6</v>
      </c>
      <c r="D31" t="s">
        <v>121</v>
      </c>
      <c r="E31" t="s">
        <v>32</v>
      </c>
      <c r="F31" t="s">
        <v>113</v>
      </c>
      <c r="G31">
        <v>3330</v>
      </c>
      <c r="H31">
        <v>141833</v>
      </c>
      <c r="I31">
        <f>G31/L31*100</f>
        <v>1.7186121046030935</v>
      </c>
      <c r="J31">
        <f>G31/H31*100</f>
        <v>2.3478316047746293</v>
      </c>
      <c r="K31" t="s">
        <v>17</v>
      </c>
      <c r="L31">
        <v>193761</v>
      </c>
    </row>
    <row r="32" spans="1:12">
      <c r="A32" t="s">
        <v>120</v>
      </c>
      <c r="B32">
        <v>40</v>
      </c>
      <c r="C32">
        <v>3</v>
      </c>
      <c r="D32" t="s">
        <v>145</v>
      </c>
      <c r="E32" t="s">
        <v>88</v>
      </c>
      <c r="F32" t="s">
        <v>128</v>
      </c>
      <c r="G32">
        <v>45400</v>
      </c>
      <c r="H32">
        <v>141833</v>
      </c>
      <c r="I32">
        <f>G32/L32*100</f>
        <v>23.430927792486621</v>
      </c>
      <c r="J32">
        <f>G32/H32*100</f>
        <v>32.009475932963419</v>
      </c>
      <c r="K32" t="s">
        <v>26</v>
      </c>
      <c r="L32">
        <v>193761</v>
      </c>
    </row>
    <row r="33" spans="1:12">
      <c r="A33" t="s">
        <v>111</v>
      </c>
      <c r="B33">
        <v>43</v>
      </c>
      <c r="C33">
        <v>5</v>
      </c>
      <c r="D33" t="s">
        <v>112</v>
      </c>
      <c r="E33" t="s">
        <v>32</v>
      </c>
      <c r="F33" t="s">
        <v>113</v>
      </c>
      <c r="G33">
        <v>1270</v>
      </c>
      <c r="H33">
        <v>135246</v>
      </c>
      <c r="I33">
        <f>G33/L33*100</f>
        <v>0.6945621797220658</v>
      </c>
      <c r="J33">
        <f>G33/H33*100</f>
        <v>0.93902962009967028</v>
      </c>
      <c r="K33" t="s">
        <v>17</v>
      </c>
      <c r="L33">
        <v>182849</v>
      </c>
    </row>
    <row r="34" spans="1:12">
      <c r="A34" t="s">
        <v>111</v>
      </c>
      <c r="B34">
        <v>43</v>
      </c>
      <c r="C34">
        <v>2</v>
      </c>
      <c r="D34" t="s">
        <v>168</v>
      </c>
      <c r="E34" t="s">
        <v>88</v>
      </c>
      <c r="F34" t="s">
        <v>169</v>
      </c>
      <c r="G34">
        <v>8046</v>
      </c>
      <c r="H34">
        <v>135246</v>
      </c>
      <c r="I34">
        <f>G34/L34*100</f>
        <v>4.4003522031840481</v>
      </c>
      <c r="J34">
        <f>G34/H34*100</f>
        <v>5.9491593097023205</v>
      </c>
      <c r="K34" t="s">
        <v>17</v>
      </c>
      <c r="L34">
        <v>182849</v>
      </c>
    </row>
    <row r="35" spans="1:12">
      <c r="A35" t="s">
        <v>13</v>
      </c>
      <c r="B35">
        <v>46</v>
      </c>
      <c r="C35">
        <v>7</v>
      </c>
      <c r="D35" t="s">
        <v>14</v>
      </c>
      <c r="E35" t="s">
        <v>15</v>
      </c>
      <c r="F35" t="s">
        <v>16</v>
      </c>
      <c r="G35">
        <v>223</v>
      </c>
      <c r="H35">
        <v>148473</v>
      </c>
      <c r="I35">
        <f>G35/L35*100</f>
        <v>0.11213242688764634</v>
      </c>
      <c r="J35">
        <f>G35/H35*100</f>
        <v>0.15019565846989016</v>
      </c>
      <c r="K35" t="s">
        <v>17</v>
      </c>
      <c r="L35">
        <v>198872</v>
      </c>
    </row>
    <row r="36" spans="1:12">
      <c r="A36" t="s">
        <v>109</v>
      </c>
      <c r="B36">
        <v>47</v>
      </c>
      <c r="C36">
        <v>12</v>
      </c>
      <c r="D36" t="s">
        <v>110</v>
      </c>
      <c r="E36" t="s">
        <v>15</v>
      </c>
      <c r="F36" t="s">
        <v>16</v>
      </c>
      <c r="G36">
        <v>133</v>
      </c>
      <c r="H36">
        <v>142125</v>
      </c>
      <c r="I36">
        <f>G36/L36*100</f>
        <v>7.1943224354674692E-2</v>
      </c>
      <c r="J36">
        <f>G36/H36*100</f>
        <v>9.3579595426561135E-2</v>
      </c>
      <c r="K36" t="s">
        <v>17</v>
      </c>
      <c r="L36">
        <v>184868</v>
      </c>
    </row>
    <row r="37" spans="1:12">
      <c r="A37" t="s">
        <v>204</v>
      </c>
      <c r="B37">
        <v>48</v>
      </c>
      <c r="C37">
        <v>11</v>
      </c>
      <c r="D37" t="s">
        <v>205</v>
      </c>
      <c r="E37" t="s">
        <v>15</v>
      </c>
      <c r="F37" t="s">
        <v>16</v>
      </c>
      <c r="G37">
        <v>386</v>
      </c>
      <c r="H37">
        <v>141763</v>
      </c>
      <c r="I37">
        <f>G37/L37*100</f>
        <v>0.20233365133613596</v>
      </c>
      <c r="J37">
        <f>G37/H37*100</f>
        <v>0.27228543414007883</v>
      </c>
      <c r="K37" t="s">
        <v>17</v>
      </c>
      <c r="L37">
        <v>190774</v>
      </c>
    </row>
    <row r="38" spans="1:12">
      <c r="A38" t="s">
        <v>126</v>
      </c>
      <c r="B38">
        <v>49</v>
      </c>
      <c r="C38">
        <v>4</v>
      </c>
      <c r="D38" t="s">
        <v>127</v>
      </c>
      <c r="E38" t="s">
        <v>88</v>
      </c>
      <c r="F38" t="s">
        <v>128</v>
      </c>
      <c r="G38">
        <v>55958</v>
      </c>
      <c r="H38">
        <v>141021</v>
      </c>
      <c r="I38">
        <f>G38/L38*100</f>
        <v>31.299221406837301</v>
      </c>
      <c r="J38">
        <f>G38/H38*100</f>
        <v>39.680614943873607</v>
      </c>
      <c r="K38" t="s">
        <v>26</v>
      </c>
      <c r="L38">
        <v>178784</v>
      </c>
    </row>
    <row r="39" spans="1:12">
      <c r="A39" t="s">
        <v>126</v>
      </c>
      <c r="B39">
        <v>49</v>
      </c>
      <c r="C39">
        <v>2</v>
      </c>
      <c r="D39" t="s">
        <v>170</v>
      </c>
      <c r="E39" t="s">
        <v>88</v>
      </c>
      <c r="F39" t="s">
        <v>169</v>
      </c>
      <c r="G39">
        <v>14510</v>
      </c>
      <c r="H39">
        <v>141021</v>
      </c>
      <c r="I39">
        <f>G39/L39*100</f>
        <v>8.1159387864685879</v>
      </c>
      <c r="J39">
        <f>G39/H39*100</f>
        <v>10.289247700697059</v>
      </c>
      <c r="K39" t="s">
        <v>17</v>
      </c>
      <c r="L39">
        <v>178784</v>
      </c>
    </row>
    <row r="40" spans="1:12">
      <c r="A40" t="s">
        <v>126</v>
      </c>
      <c r="B40">
        <v>49</v>
      </c>
      <c r="C40">
        <v>8</v>
      </c>
      <c r="D40" t="s">
        <v>218</v>
      </c>
      <c r="E40" t="s">
        <v>15</v>
      </c>
      <c r="F40" t="s">
        <v>16</v>
      </c>
      <c r="G40">
        <v>1080</v>
      </c>
      <c r="H40">
        <v>141021</v>
      </c>
      <c r="I40">
        <f>G40/L40*100</f>
        <v>0.60408090209414711</v>
      </c>
      <c r="J40">
        <f>G40/H40*100</f>
        <v>0.76584338502776184</v>
      </c>
      <c r="K40" t="s">
        <v>17</v>
      </c>
      <c r="L40">
        <v>178784</v>
      </c>
    </row>
    <row r="41" spans="1:12">
      <c r="A41" t="s">
        <v>214</v>
      </c>
      <c r="B41">
        <v>50</v>
      </c>
      <c r="C41">
        <v>7</v>
      </c>
      <c r="D41" t="s">
        <v>215</v>
      </c>
      <c r="E41" t="s">
        <v>15</v>
      </c>
      <c r="F41" t="s">
        <v>16</v>
      </c>
      <c r="G41">
        <v>62</v>
      </c>
      <c r="H41">
        <v>140119</v>
      </c>
      <c r="I41">
        <f>G41/L41*100</f>
        <v>3.4468764072428881E-2</v>
      </c>
      <c r="J41">
        <f>G41/H41*100</f>
        <v>4.424810339782613E-2</v>
      </c>
      <c r="K41" t="s">
        <v>17</v>
      </c>
      <c r="L41">
        <v>179873</v>
      </c>
    </row>
    <row r="42" spans="1:12">
      <c r="A42" t="s">
        <v>151</v>
      </c>
      <c r="B42">
        <v>51</v>
      </c>
      <c r="C42">
        <v>3</v>
      </c>
      <c r="D42" t="s">
        <v>152</v>
      </c>
      <c r="E42" t="s">
        <v>88</v>
      </c>
      <c r="F42" t="s">
        <v>149</v>
      </c>
      <c r="G42">
        <v>41618</v>
      </c>
      <c r="H42">
        <v>141662</v>
      </c>
      <c r="I42">
        <f>G42/L42*100</f>
        <v>22.512400807066701</v>
      </c>
      <c r="J42">
        <f>G42/H42*100</f>
        <v>29.378379523090171</v>
      </c>
      <c r="K42" t="s">
        <v>26</v>
      </c>
      <c r="L42">
        <v>184867</v>
      </c>
    </row>
    <row r="43" spans="1:12">
      <c r="A43" t="s">
        <v>98</v>
      </c>
      <c r="B43">
        <v>52</v>
      </c>
      <c r="C43">
        <v>2</v>
      </c>
      <c r="D43" t="s">
        <v>99</v>
      </c>
      <c r="E43" t="s">
        <v>88</v>
      </c>
      <c r="F43" t="s">
        <v>97</v>
      </c>
      <c r="G43">
        <v>811</v>
      </c>
      <c r="H43">
        <v>150212</v>
      </c>
      <c r="I43">
        <f>G43/L43*100</f>
        <v>0.41032957914655493</v>
      </c>
      <c r="J43">
        <f>G43/H43*100</f>
        <v>0.53990360290789019</v>
      </c>
      <c r="K43" t="s">
        <v>17</v>
      </c>
      <c r="L43">
        <v>197646</v>
      </c>
    </row>
    <row r="44" spans="1:12">
      <c r="A44" t="s">
        <v>98</v>
      </c>
      <c r="B44">
        <v>52</v>
      </c>
      <c r="C44">
        <v>4</v>
      </c>
      <c r="D44" t="s">
        <v>153</v>
      </c>
      <c r="E44" t="s">
        <v>88</v>
      </c>
      <c r="F44" t="s">
        <v>149</v>
      </c>
      <c r="G44">
        <v>51073</v>
      </c>
      <c r="H44">
        <v>150212</v>
      </c>
      <c r="I44">
        <f>G44/L44*100</f>
        <v>25.840644384404438</v>
      </c>
      <c r="J44">
        <f>G44/H44*100</f>
        <v>34.000612467712301</v>
      </c>
      <c r="K44" t="s">
        <v>26</v>
      </c>
      <c r="L44">
        <v>197646</v>
      </c>
    </row>
    <row r="45" spans="1:12">
      <c r="A45" t="s">
        <v>173</v>
      </c>
      <c r="B45">
        <v>53</v>
      </c>
      <c r="C45">
        <v>3</v>
      </c>
      <c r="D45" t="s">
        <v>174</v>
      </c>
      <c r="E45" t="s">
        <v>88</v>
      </c>
      <c r="F45" t="s">
        <v>169</v>
      </c>
      <c r="G45">
        <v>23800</v>
      </c>
      <c r="H45">
        <v>134061</v>
      </c>
      <c r="I45">
        <f>G45/L45*100</f>
        <v>13.695555849671134</v>
      </c>
      <c r="J45">
        <f>G45/H45*100</f>
        <v>17.753112389136287</v>
      </c>
      <c r="K45" t="s">
        <v>26</v>
      </c>
      <c r="L45">
        <v>173779</v>
      </c>
    </row>
    <row r="46" spans="1:12">
      <c r="A46" t="s">
        <v>177</v>
      </c>
      <c r="B46">
        <v>56</v>
      </c>
      <c r="C46">
        <v>2</v>
      </c>
      <c r="D46" t="s">
        <v>178</v>
      </c>
      <c r="E46" t="s">
        <v>88</v>
      </c>
      <c r="F46" t="s">
        <v>169</v>
      </c>
      <c r="G46">
        <v>40076</v>
      </c>
      <c r="H46">
        <v>137804</v>
      </c>
      <c r="I46">
        <f>G46/L46*100</f>
        <v>22.465762639654237</v>
      </c>
      <c r="J46">
        <f>G46/H46*100</f>
        <v>29.081884415546718</v>
      </c>
      <c r="K46" t="s">
        <v>26</v>
      </c>
      <c r="L46">
        <v>178387</v>
      </c>
    </row>
    <row r="47" spans="1:12">
      <c r="A47" t="s">
        <v>34</v>
      </c>
      <c r="B47">
        <v>58</v>
      </c>
      <c r="C47">
        <v>10</v>
      </c>
      <c r="D47" t="s">
        <v>35</v>
      </c>
      <c r="E47" t="s">
        <v>15</v>
      </c>
      <c r="F47" t="s">
        <v>16</v>
      </c>
      <c r="G47">
        <v>679</v>
      </c>
      <c r="H47">
        <v>154280</v>
      </c>
      <c r="I47">
        <f>G47/L47*100</f>
        <v>0.36506357697787573</v>
      </c>
      <c r="J47">
        <f>G47/H47*100</f>
        <v>0.44010889292196004</v>
      </c>
      <c r="K47" t="s">
        <v>17</v>
      </c>
      <c r="L47">
        <v>185995</v>
      </c>
    </row>
    <row r="48" spans="1:12">
      <c r="A48" t="s">
        <v>34</v>
      </c>
      <c r="B48">
        <v>58</v>
      </c>
      <c r="C48">
        <v>6</v>
      </c>
      <c r="D48" t="s">
        <v>41</v>
      </c>
      <c r="E48" t="s">
        <v>32</v>
      </c>
      <c r="F48" t="s">
        <v>40</v>
      </c>
      <c r="G48">
        <v>442</v>
      </c>
      <c r="H48">
        <v>154280</v>
      </c>
      <c r="I48">
        <f>G48/L48*100</f>
        <v>0.23764079679561276</v>
      </c>
      <c r="J48">
        <f>G48/H48*100</f>
        <v>0.28649209229971478</v>
      </c>
      <c r="K48" t="s">
        <v>17</v>
      </c>
      <c r="L48">
        <v>185995</v>
      </c>
    </row>
    <row r="49" spans="1:12">
      <c r="A49" t="s">
        <v>163</v>
      </c>
      <c r="B49">
        <v>59</v>
      </c>
      <c r="C49">
        <v>5</v>
      </c>
      <c r="D49" t="s">
        <v>164</v>
      </c>
      <c r="E49" t="s">
        <v>32</v>
      </c>
      <c r="F49" t="s">
        <v>165</v>
      </c>
      <c r="G49">
        <v>2186</v>
      </c>
      <c r="H49">
        <v>154578</v>
      </c>
      <c r="I49">
        <f>G49/L49*100</f>
        <v>1.1459125101564751</v>
      </c>
      <c r="J49">
        <f>G49/H49*100</f>
        <v>1.4141727800851349</v>
      </c>
      <c r="K49" t="s">
        <v>17</v>
      </c>
      <c r="L49">
        <v>190765</v>
      </c>
    </row>
    <row r="50" spans="1:12">
      <c r="A50" t="s">
        <v>154</v>
      </c>
      <c r="B50">
        <v>61</v>
      </c>
      <c r="C50">
        <v>1</v>
      </c>
      <c r="D50" t="s">
        <v>155</v>
      </c>
      <c r="E50" t="s">
        <v>88</v>
      </c>
      <c r="F50" t="s">
        <v>149</v>
      </c>
      <c r="G50">
        <v>57571</v>
      </c>
      <c r="H50">
        <v>151225</v>
      </c>
      <c r="I50">
        <f>G50/L50*100</f>
        <v>30.154672924119652</v>
      </c>
      <c r="J50">
        <f>G50/H50*100</f>
        <v>38.069763597288805</v>
      </c>
      <c r="K50" t="s">
        <v>26</v>
      </c>
      <c r="L50">
        <v>190919</v>
      </c>
    </row>
    <row r="51" spans="1:12">
      <c r="A51" t="s">
        <v>179</v>
      </c>
      <c r="B51">
        <v>63</v>
      </c>
      <c r="C51">
        <v>2</v>
      </c>
      <c r="D51" t="s">
        <v>180</v>
      </c>
      <c r="E51" t="s">
        <v>88</v>
      </c>
      <c r="F51" t="s">
        <v>169</v>
      </c>
      <c r="G51">
        <v>25490</v>
      </c>
      <c r="H51">
        <v>147650</v>
      </c>
      <c r="I51">
        <f>G51/L51*100</f>
        <v>12.63125554382783</v>
      </c>
      <c r="J51">
        <f>G51/H51*100</f>
        <v>17.26379952590586</v>
      </c>
      <c r="K51" t="s">
        <v>26</v>
      </c>
      <c r="L51">
        <v>201801</v>
      </c>
    </row>
    <row r="52" spans="1:12">
      <c r="A52" t="s">
        <v>134</v>
      </c>
      <c r="B52">
        <v>65</v>
      </c>
      <c r="C52">
        <v>3</v>
      </c>
      <c r="D52" t="s">
        <v>135</v>
      </c>
      <c r="E52" t="s">
        <v>88</v>
      </c>
      <c r="F52" t="s">
        <v>128</v>
      </c>
      <c r="G52">
        <v>65492</v>
      </c>
      <c r="H52">
        <v>159781</v>
      </c>
      <c r="I52">
        <f>G52/L52*100</f>
        <v>33.163360896887326</v>
      </c>
      <c r="J52">
        <f>G52/H52*100</f>
        <v>40.988603150562334</v>
      </c>
      <c r="K52" t="s">
        <v>26</v>
      </c>
      <c r="L52">
        <v>197483</v>
      </c>
    </row>
    <row r="53" spans="1:12">
      <c r="A53" t="s">
        <v>66</v>
      </c>
      <c r="B53">
        <v>67</v>
      </c>
      <c r="C53">
        <v>7</v>
      </c>
      <c r="D53" t="s">
        <v>67</v>
      </c>
      <c r="E53" t="s">
        <v>32</v>
      </c>
      <c r="F53" t="s">
        <v>68</v>
      </c>
      <c r="G53">
        <v>74</v>
      </c>
      <c r="H53">
        <v>127191</v>
      </c>
      <c r="I53">
        <f>G53/L53*100</f>
        <v>4.2933893407906799E-2</v>
      </c>
      <c r="J53">
        <f>G53/H53*100</f>
        <v>5.8180217153729431E-2</v>
      </c>
      <c r="K53" t="s">
        <v>17</v>
      </c>
      <c r="L53">
        <v>172358</v>
      </c>
    </row>
    <row r="54" spans="1:12">
      <c r="A54" t="s">
        <v>66</v>
      </c>
      <c r="B54">
        <v>67</v>
      </c>
      <c r="C54">
        <v>6</v>
      </c>
      <c r="D54" t="s">
        <v>85</v>
      </c>
      <c r="E54" t="s">
        <v>32</v>
      </c>
      <c r="F54" t="s">
        <v>33</v>
      </c>
      <c r="G54">
        <v>154</v>
      </c>
      <c r="H54">
        <v>127191</v>
      </c>
      <c r="I54">
        <f>G54/L54*100</f>
        <v>8.9348913308346586E-2</v>
      </c>
      <c r="J54">
        <f>G54/H54*100</f>
        <v>0.1210777492118153</v>
      </c>
      <c r="K54" t="s">
        <v>17</v>
      </c>
      <c r="L54">
        <v>172358</v>
      </c>
    </row>
    <row r="55" spans="1:12">
      <c r="A55" t="s">
        <v>66</v>
      </c>
      <c r="B55">
        <v>67</v>
      </c>
      <c r="C55">
        <v>2</v>
      </c>
      <c r="D55" t="s">
        <v>161</v>
      </c>
      <c r="E55" t="s">
        <v>88</v>
      </c>
      <c r="F55" t="s">
        <v>149</v>
      </c>
      <c r="G55">
        <v>46677</v>
      </c>
      <c r="H55">
        <v>127191</v>
      </c>
      <c r="I55">
        <f>G55/L55*100</f>
        <v>27.081423548660343</v>
      </c>
      <c r="J55">
        <f>G55/H55*100</f>
        <v>36.698351298440926</v>
      </c>
      <c r="K55" t="s">
        <v>26</v>
      </c>
      <c r="L55">
        <v>172358</v>
      </c>
    </row>
    <row r="56" spans="1:12">
      <c r="A56" t="s">
        <v>27</v>
      </c>
      <c r="B56">
        <v>68</v>
      </c>
      <c r="C56">
        <v>9</v>
      </c>
      <c r="D56" t="s">
        <v>28</v>
      </c>
      <c r="E56" t="s">
        <v>15</v>
      </c>
      <c r="F56" t="s">
        <v>16</v>
      </c>
      <c r="G56">
        <v>163</v>
      </c>
      <c r="H56">
        <v>150512</v>
      </c>
      <c r="I56">
        <f>G56/L56*100</f>
        <v>8.2833621302977944E-2</v>
      </c>
      <c r="J56">
        <f>G56/H56*100</f>
        <v>0.10829701286276178</v>
      </c>
      <c r="K56" t="s">
        <v>17</v>
      </c>
      <c r="L56">
        <v>196780</v>
      </c>
    </row>
    <row r="57" spans="1:12">
      <c r="A57" t="s">
        <v>27</v>
      </c>
      <c r="B57">
        <v>68</v>
      </c>
      <c r="C57">
        <v>1</v>
      </c>
      <c r="D57" t="s">
        <v>94</v>
      </c>
      <c r="E57" t="s">
        <v>88</v>
      </c>
      <c r="F57" t="s">
        <v>89</v>
      </c>
      <c r="G57">
        <v>70218</v>
      </c>
      <c r="H57">
        <v>150512</v>
      </c>
      <c r="I57">
        <f>G57/L57*100</f>
        <v>35.68350442118102</v>
      </c>
      <c r="J57">
        <f>G57/H57*100</f>
        <v>46.652758584033165</v>
      </c>
      <c r="K57" t="s">
        <v>92</v>
      </c>
      <c r="L57">
        <v>196780</v>
      </c>
    </row>
    <row r="58" spans="1:12">
      <c r="A58" t="s">
        <v>219</v>
      </c>
      <c r="B58">
        <v>72</v>
      </c>
      <c r="C58">
        <v>7</v>
      </c>
      <c r="D58" t="s">
        <v>220</v>
      </c>
      <c r="E58" t="s">
        <v>15</v>
      </c>
      <c r="F58" t="s">
        <v>16</v>
      </c>
      <c r="G58">
        <v>191</v>
      </c>
      <c r="H58">
        <v>150394</v>
      </c>
      <c r="I58">
        <f>G58/L58*100</f>
        <v>0.10017044709584372</v>
      </c>
      <c r="J58">
        <f>G58/H58*100</f>
        <v>0.12699974733034564</v>
      </c>
      <c r="K58" t="s">
        <v>17</v>
      </c>
      <c r="L58">
        <v>190675</v>
      </c>
    </row>
    <row r="59" spans="1:12">
      <c r="A59" t="s">
        <v>211</v>
      </c>
      <c r="B59">
        <v>73</v>
      </c>
      <c r="C59">
        <v>6</v>
      </c>
      <c r="D59" t="s">
        <v>212</v>
      </c>
      <c r="E59" t="s">
        <v>32</v>
      </c>
      <c r="F59" t="s">
        <v>213</v>
      </c>
      <c r="G59">
        <v>32793</v>
      </c>
      <c r="H59">
        <v>148577</v>
      </c>
      <c r="I59">
        <f>G59/L59*100</f>
        <v>17.550723319079246</v>
      </c>
      <c r="J59">
        <f>G59/H59*100</f>
        <v>22.07138386156673</v>
      </c>
      <c r="K59" t="s">
        <v>26</v>
      </c>
      <c r="L59">
        <v>186847</v>
      </c>
    </row>
    <row r="60" spans="1:12">
      <c r="A60" t="s">
        <v>42</v>
      </c>
      <c r="B60">
        <v>75</v>
      </c>
      <c r="C60">
        <v>4</v>
      </c>
      <c r="D60" t="s">
        <v>43</v>
      </c>
      <c r="E60" t="s">
        <v>32</v>
      </c>
      <c r="F60" t="s">
        <v>40</v>
      </c>
      <c r="G60">
        <v>595</v>
      </c>
      <c r="H60">
        <v>136157</v>
      </c>
      <c r="I60">
        <f>G60/L60*100</f>
        <v>0.36347864333887203</v>
      </c>
      <c r="J60">
        <f>G60/H60*100</f>
        <v>0.43699552722225077</v>
      </c>
      <c r="K60" t="s">
        <v>17</v>
      </c>
      <c r="L60">
        <v>163696</v>
      </c>
    </row>
    <row r="61" spans="1:12">
      <c r="A61" t="s">
        <v>42</v>
      </c>
      <c r="B61">
        <v>75</v>
      </c>
      <c r="C61">
        <v>1</v>
      </c>
      <c r="D61" t="s">
        <v>100</v>
      </c>
      <c r="E61" t="s">
        <v>88</v>
      </c>
      <c r="F61" t="s">
        <v>97</v>
      </c>
      <c r="G61">
        <v>742</v>
      </c>
      <c r="H61">
        <v>136157</v>
      </c>
      <c r="I61">
        <f>G61/L61*100</f>
        <v>0.4532792493402405</v>
      </c>
      <c r="J61">
        <f>G61/H61*100</f>
        <v>0.54495912806539504</v>
      </c>
      <c r="K61" t="s">
        <v>17</v>
      </c>
      <c r="L61">
        <v>163696</v>
      </c>
    </row>
    <row r="62" spans="1:12">
      <c r="A62" t="s">
        <v>181</v>
      </c>
      <c r="B62">
        <v>76</v>
      </c>
      <c r="C62">
        <v>2</v>
      </c>
      <c r="D62" t="s">
        <v>182</v>
      </c>
      <c r="E62" t="s">
        <v>88</v>
      </c>
      <c r="F62" t="s">
        <v>169</v>
      </c>
      <c r="G62">
        <v>19349</v>
      </c>
      <c r="H62">
        <v>146805</v>
      </c>
      <c r="I62">
        <f>G62/L62*100</f>
        <v>10.962295685674626</v>
      </c>
      <c r="J62">
        <f>G62/H62*100</f>
        <v>13.180068798746635</v>
      </c>
      <c r="K62" t="s">
        <v>17</v>
      </c>
      <c r="L62">
        <v>176505</v>
      </c>
    </row>
    <row r="63" spans="1:12">
      <c r="A63" t="s">
        <v>116</v>
      </c>
      <c r="B63">
        <v>77</v>
      </c>
      <c r="C63">
        <v>5</v>
      </c>
      <c r="D63" t="s">
        <v>117</v>
      </c>
      <c r="E63" t="s">
        <v>32</v>
      </c>
      <c r="F63" t="s">
        <v>113</v>
      </c>
      <c r="G63">
        <v>1391</v>
      </c>
      <c r="H63">
        <v>154882</v>
      </c>
      <c r="I63">
        <f>G63/L63*100</f>
        <v>0.7300687555765496</v>
      </c>
      <c r="J63">
        <f>G63/H63*100</f>
        <v>0.89810307201611561</v>
      </c>
      <c r="K63" t="s">
        <v>17</v>
      </c>
      <c r="L63">
        <v>190530</v>
      </c>
    </row>
    <row r="64" spans="1:12">
      <c r="A64" t="s">
        <v>86</v>
      </c>
      <c r="B64">
        <v>78</v>
      </c>
      <c r="C64">
        <v>1</v>
      </c>
      <c r="D64" t="s">
        <v>87</v>
      </c>
      <c r="E64" t="s">
        <v>88</v>
      </c>
      <c r="F64" t="s">
        <v>89</v>
      </c>
      <c r="G64">
        <v>54351</v>
      </c>
      <c r="H64">
        <v>160576</v>
      </c>
      <c r="I64">
        <f>G64/L64*100</f>
        <v>28.410356129153662</v>
      </c>
      <c r="J64">
        <f>G64/H64*100</f>
        <v>33.847523913909924</v>
      </c>
      <c r="K64" t="s">
        <v>26</v>
      </c>
      <c r="L64">
        <v>191307</v>
      </c>
    </row>
    <row r="65" spans="1:12">
      <c r="A65" t="s">
        <v>86</v>
      </c>
      <c r="B65">
        <v>78</v>
      </c>
      <c r="C65">
        <v>7</v>
      </c>
      <c r="D65" t="s">
        <v>203</v>
      </c>
      <c r="E65" t="s">
        <v>15</v>
      </c>
      <c r="F65" t="s">
        <v>16</v>
      </c>
      <c r="G65">
        <v>302</v>
      </c>
      <c r="H65">
        <v>160576</v>
      </c>
      <c r="I65">
        <f>G65/L65*100</f>
        <v>0.15786144782992781</v>
      </c>
      <c r="J65">
        <f>G65/H65*100</f>
        <v>0.18807293742526904</v>
      </c>
      <c r="K65" t="s">
        <v>17</v>
      </c>
      <c r="L65">
        <v>191307</v>
      </c>
    </row>
    <row r="66" spans="1:12">
      <c r="A66" t="s">
        <v>72</v>
      </c>
      <c r="B66">
        <v>79</v>
      </c>
      <c r="C66">
        <v>4</v>
      </c>
      <c r="D66" t="s">
        <v>73</v>
      </c>
      <c r="E66" t="s">
        <v>32</v>
      </c>
      <c r="F66" t="s">
        <v>71</v>
      </c>
      <c r="G66">
        <v>248</v>
      </c>
      <c r="H66">
        <v>131169</v>
      </c>
      <c r="I66">
        <f>G66/L66*100</f>
        <v>0.15100129690630004</v>
      </c>
      <c r="J66">
        <f>G66/H66*100</f>
        <v>0.18906906357447262</v>
      </c>
      <c r="K66" t="s">
        <v>17</v>
      </c>
      <c r="L66">
        <v>164237</v>
      </c>
    </row>
    <row r="67" spans="1:12">
      <c r="A67" t="s">
        <v>44</v>
      </c>
      <c r="B67">
        <v>81</v>
      </c>
      <c r="C67">
        <v>6</v>
      </c>
      <c r="D67" t="s">
        <v>45</v>
      </c>
      <c r="E67" t="s">
        <v>32</v>
      </c>
      <c r="F67" t="s">
        <v>40</v>
      </c>
      <c r="G67">
        <v>156</v>
      </c>
      <c r="H67">
        <v>154685</v>
      </c>
      <c r="I67">
        <f>G67/L67*100</f>
        <v>7.8690509218391394E-2</v>
      </c>
      <c r="J67">
        <f>G67/H67*100</f>
        <v>0.10085011474932927</v>
      </c>
      <c r="K67" t="s">
        <v>17</v>
      </c>
      <c r="L67">
        <v>198245</v>
      </c>
    </row>
    <row r="68" spans="1:12">
      <c r="A68" t="s">
        <v>44</v>
      </c>
      <c r="B68">
        <v>81</v>
      </c>
      <c r="C68">
        <v>5</v>
      </c>
      <c r="D68" t="s">
        <v>82</v>
      </c>
      <c r="E68" t="s">
        <v>32</v>
      </c>
      <c r="F68" t="s">
        <v>33</v>
      </c>
      <c r="G68">
        <v>410</v>
      </c>
      <c r="H68">
        <v>154685</v>
      </c>
      <c r="I68">
        <f>G68/L68*100</f>
        <v>0.20681479986884915</v>
      </c>
      <c r="J68">
        <f>G68/H68*100</f>
        <v>0.26505478876426286</v>
      </c>
      <c r="K68" t="s">
        <v>17</v>
      </c>
      <c r="L68">
        <v>198245</v>
      </c>
    </row>
    <row r="69" spans="1:12">
      <c r="A69" t="s">
        <v>44</v>
      </c>
      <c r="B69">
        <v>81</v>
      </c>
      <c r="C69">
        <v>12</v>
      </c>
      <c r="D69" t="s">
        <v>200</v>
      </c>
      <c r="E69" t="s">
        <v>15</v>
      </c>
      <c r="F69" t="s">
        <v>16</v>
      </c>
      <c r="G69">
        <v>128</v>
      </c>
      <c r="H69">
        <v>154685</v>
      </c>
      <c r="I69">
        <f>G69/L69*100</f>
        <v>6.4566571666372419E-2</v>
      </c>
      <c r="J69">
        <f>G69/H69*100</f>
        <v>8.2748812102013777E-2</v>
      </c>
      <c r="K69" t="s">
        <v>17</v>
      </c>
      <c r="L69">
        <v>198245</v>
      </c>
    </row>
    <row r="70" spans="1:12">
      <c r="A70" t="s">
        <v>64</v>
      </c>
      <c r="B70">
        <v>83</v>
      </c>
      <c r="C70">
        <v>11</v>
      </c>
      <c r="D70" t="s">
        <v>65</v>
      </c>
      <c r="E70" t="s">
        <v>15</v>
      </c>
      <c r="F70" t="s">
        <v>16</v>
      </c>
      <c r="G70">
        <v>147</v>
      </c>
      <c r="H70">
        <v>135304</v>
      </c>
      <c r="I70">
        <f>G70/L70*100</f>
        <v>8.1098973849718634E-2</v>
      </c>
      <c r="J70">
        <f>G70/H70*100</f>
        <v>0.10864423815999527</v>
      </c>
      <c r="K70" t="s">
        <v>17</v>
      </c>
      <c r="L70">
        <v>181260</v>
      </c>
    </row>
    <row r="71" spans="1:12">
      <c r="A71" t="s">
        <v>136</v>
      </c>
      <c r="B71">
        <v>84</v>
      </c>
      <c r="C71">
        <v>1</v>
      </c>
      <c r="D71" t="s">
        <v>137</v>
      </c>
      <c r="E71" t="s">
        <v>88</v>
      </c>
      <c r="F71" t="s">
        <v>128</v>
      </c>
      <c r="G71">
        <v>62766</v>
      </c>
      <c r="H71">
        <v>148317</v>
      </c>
      <c r="I71">
        <f>G71/L71*100</f>
        <v>36.366059271705439</v>
      </c>
      <c r="J71">
        <f>G71/H71*100</f>
        <v>42.318817128178161</v>
      </c>
      <c r="K71" t="s">
        <v>26</v>
      </c>
      <c r="L71">
        <v>172595</v>
      </c>
    </row>
    <row r="72" spans="1:12">
      <c r="A72" t="s">
        <v>58</v>
      </c>
      <c r="B72">
        <v>88</v>
      </c>
      <c r="C72">
        <v>10</v>
      </c>
      <c r="D72" t="s">
        <v>59</v>
      </c>
      <c r="E72" t="s">
        <v>15</v>
      </c>
      <c r="F72" t="s">
        <v>16</v>
      </c>
      <c r="G72">
        <v>650</v>
      </c>
      <c r="H72">
        <v>117382</v>
      </c>
      <c r="I72">
        <f>G72/L72*100</f>
        <v>0.39441029592907895</v>
      </c>
      <c r="J72">
        <f>G72/H72*100</f>
        <v>0.55374759332776746</v>
      </c>
      <c r="K72" t="s">
        <v>17</v>
      </c>
      <c r="L72">
        <v>164803</v>
      </c>
    </row>
    <row r="73" spans="1:12">
      <c r="A73" t="s">
        <v>58</v>
      </c>
      <c r="B73">
        <v>88</v>
      </c>
      <c r="C73">
        <v>4</v>
      </c>
      <c r="D73" t="s">
        <v>166</v>
      </c>
      <c r="E73" t="s">
        <v>32</v>
      </c>
      <c r="F73" t="s">
        <v>165</v>
      </c>
      <c r="G73">
        <v>11613</v>
      </c>
      <c r="H73">
        <v>117382</v>
      </c>
      <c r="I73">
        <f>G73/L73*100</f>
        <v>7.046595025575991</v>
      </c>
      <c r="J73">
        <f>G73/H73*100</f>
        <v>9.8933396943313276</v>
      </c>
      <c r="K73" t="s">
        <v>17</v>
      </c>
      <c r="L73">
        <v>164803</v>
      </c>
    </row>
    <row r="74" spans="1:12">
      <c r="A74" t="s">
        <v>46</v>
      </c>
      <c r="B74">
        <v>90</v>
      </c>
      <c r="C74">
        <v>3</v>
      </c>
      <c r="D74" t="s">
        <v>47</v>
      </c>
      <c r="E74" t="s">
        <v>32</v>
      </c>
      <c r="F74" t="s">
        <v>40</v>
      </c>
      <c r="G74">
        <v>811</v>
      </c>
      <c r="H74">
        <v>141574</v>
      </c>
      <c r="I74">
        <f>G74/L74*100</f>
        <v>0.41380295631853131</v>
      </c>
      <c r="J74">
        <f>G74/H74*100</f>
        <v>0.57284529645273852</v>
      </c>
      <c r="K74" t="s">
        <v>17</v>
      </c>
      <c r="L74">
        <v>195987</v>
      </c>
    </row>
    <row r="75" spans="1:12">
      <c r="A75" t="s">
        <v>46</v>
      </c>
      <c r="B75">
        <v>90</v>
      </c>
      <c r="C75">
        <v>1</v>
      </c>
      <c r="D75" t="s">
        <v>101</v>
      </c>
      <c r="E75" t="s">
        <v>88</v>
      </c>
      <c r="F75" t="s">
        <v>97</v>
      </c>
      <c r="G75">
        <v>440</v>
      </c>
      <c r="H75">
        <v>141574</v>
      </c>
      <c r="I75">
        <f>G75/L75*100</f>
        <v>0.22450468653533143</v>
      </c>
      <c r="J75">
        <f>G75/H75*100</f>
        <v>0.31079152951813188</v>
      </c>
      <c r="K75" t="s">
        <v>17</v>
      </c>
      <c r="L75">
        <v>195987</v>
      </c>
    </row>
    <row r="76" spans="1:12">
      <c r="A76" t="s">
        <v>90</v>
      </c>
      <c r="B76">
        <v>92</v>
      </c>
      <c r="C76">
        <v>2</v>
      </c>
      <c r="D76" t="s">
        <v>91</v>
      </c>
      <c r="E76" t="s">
        <v>88</v>
      </c>
      <c r="F76" t="s">
        <v>89</v>
      </c>
      <c r="G76">
        <v>56584</v>
      </c>
      <c r="H76">
        <v>128768</v>
      </c>
      <c r="I76">
        <f>G76/L76*100</f>
        <v>32.237186937398874</v>
      </c>
      <c r="J76">
        <f>G76/H76*100</f>
        <v>43.942594433399599</v>
      </c>
      <c r="K76" t="s">
        <v>92</v>
      </c>
      <c r="L76">
        <v>175524</v>
      </c>
    </row>
    <row r="77" spans="1:12">
      <c r="A77" t="s">
        <v>48</v>
      </c>
      <c r="B77">
        <v>95</v>
      </c>
      <c r="C77">
        <v>4</v>
      </c>
      <c r="D77" t="s">
        <v>49</v>
      </c>
      <c r="E77" t="s">
        <v>32</v>
      </c>
      <c r="F77" t="s">
        <v>40</v>
      </c>
      <c r="G77">
        <v>420</v>
      </c>
      <c r="H77">
        <v>132048</v>
      </c>
      <c r="I77">
        <f>G77/L77*100</f>
        <v>0.25825175857149885</v>
      </c>
      <c r="J77">
        <f>G77/H77*100</f>
        <v>0.31806615776081421</v>
      </c>
      <c r="K77" t="s">
        <v>17</v>
      </c>
      <c r="L77">
        <v>162632</v>
      </c>
    </row>
    <row r="78" spans="1:12">
      <c r="A78" t="s">
        <v>48</v>
      </c>
      <c r="B78">
        <v>95</v>
      </c>
      <c r="C78">
        <v>1</v>
      </c>
      <c r="D78" t="s">
        <v>93</v>
      </c>
      <c r="E78" t="s">
        <v>88</v>
      </c>
      <c r="F78" t="s">
        <v>89</v>
      </c>
      <c r="G78">
        <v>61997</v>
      </c>
      <c r="H78">
        <v>132048</v>
      </c>
      <c r="I78">
        <f>G78/L78*100</f>
        <v>38.121033990850513</v>
      </c>
      <c r="J78">
        <f>G78/H78*100</f>
        <v>46.95035138737429</v>
      </c>
      <c r="K78" t="s">
        <v>92</v>
      </c>
      <c r="L78">
        <v>162632</v>
      </c>
    </row>
    <row r="79" spans="1:12">
      <c r="A79" t="s">
        <v>50</v>
      </c>
      <c r="B79">
        <v>96</v>
      </c>
      <c r="C79">
        <v>5</v>
      </c>
      <c r="D79" t="s">
        <v>51</v>
      </c>
      <c r="E79" t="s">
        <v>32</v>
      </c>
      <c r="F79" t="s">
        <v>40</v>
      </c>
      <c r="G79">
        <v>182</v>
      </c>
      <c r="H79">
        <v>132304</v>
      </c>
      <c r="I79">
        <f>G79/L79*100</f>
        <v>0.10999371464487744</v>
      </c>
      <c r="J79">
        <f>G79/H79*100</f>
        <v>0.13756197847381788</v>
      </c>
      <c r="K79" t="s">
        <v>17</v>
      </c>
      <c r="L79">
        <v>165464</v>
      </c>
    </row>
    <row r="80" spans="1:12">
      <c r="A80" t="s">
        <v>52</v>
      </c>
      <c r="B80">
        <v>97</v>
      </c>
      <c r="C80">
        <v>5</v>
      </c>
      <c r="D80" t="s">
        <v>53</v>
      </c>
      <c r="E80" t="s">
        <v>32</v>
      </c>
      <c r="F80" t="s">
        <v>40</v>
      </c>
      <c r="G80">
        <v>182</v>
      </c>
      <c r="H80">
        <v>128603</v>
      </c>
      <c r="I80">
        <f>G80/L80*100</f>
        <v>0.11091001054254496</v>
      </c>
      <c r="J80">
        <f>G80/H80*100</f>
        <v>0.1415208043358242</v>
      </c>
      <c r="K80" t="s">
        <v>17</v>
      </c>
      <c r="L80">
        <v>164097</v>
      </c>
    </row>
    <row r="81" spans="1:12">
      <c r="A81" t="s">
        <v>102</v>
      </c>
      <c r="B81">
        <v>99</v>
      </c>
      <c r="C81">
        <v>2</v>
      </c>
      <c r="D81" t="s">
        <v>103</v>
      </c>
      <c r="E81" t="s">
        <v>88</v>
      </c>
      <c r="F81" t="s">
        <v>97</v>
      </c>
      <c r="G81">
        <v>676</v>
      </c>
      <c r="H81">
        <v>125793</v>
      </c>
      <c r="I81">
        <f>G81/L81*100</f>
        <v>0.4043545878693624</v>
      </c>
      <c r="J81">
        <f>G81/H81*100</f>
        <v>0.53739079281041069</v>
      </c>
      <c r="K81" t="s">
        <v>17</v>
      </c>
      <c r="L81">
        <v>167180</v>
      </c>
    </row>
    <row r="82" spans="1:12">
      <c r="A82" t="s">
        <v>216</v>
      </c>
      <c r="B82">
        <v>101</v>
      </c>
      <c r="C82">
        <v>8</v>
      </c>
      <c r="D82" t="s">
        <v>217</v>
      </c>
      <c r="E82" t="s">
        <v>15</v>
      </c>
      <c r="F82" t="s">
        <v>16</v>
      </c>
      <c r="G82">
        <v>397</v>
      </c>
      <c r="H82">
        <v>145753</v>
      </c>
      <c r="I82">
        <f>G82/L82*100</f>
        <v>0.21624271474481183</v>
      </c>
      <c r="J82">
        <f>G82/H82*100</f>
        <v>0.27237861313317735</v>
      </c>
      <c r="K82" t="s">
        <v>17</v>
      </c>
      <c r="L82">
        <v>183590</v>
      </c>
    </row>
    <row r="83" spans="1:12">
      <c r="A83" t="s">
        <v>156</v>
      </c>
      <c r="B83">
        <v>104</v>
      </c>
      <c r="C83">
        <v>3</v>
      </c>
      <c r="D83" t="s">
        <v>157</v>
      </c>
      <c r="E83" t="s">
        <v>88</v>
      </c>
      <c r="F83" t="s">
        <v>149</v>
      </c>
      <c r="G83">
        <v>52179</v>
      </c>
      <c r="H83">
        <v>156150</v>
      </c>
      <c r="I83">
        <f>G83/L83*100</f>
        <v>26.961432734638201</v>
      </c>
      <c r="J83">
        <f>G83/H83*100</f>
        <v>33.415946205571565</v>
      </c>
      <c r="K83" t="s">
        <v>26</v>
      </c>
      <c r="L83">
        <v>193532</v>
      </c>
    </row>
    <row r="84" spans="1:12">
      <c r="A84" t="s">
        <v>60</v>
      </c>
      <c r="B84">
        <v>108</v>
      </c>
      <c r="C84">
        <v>8</v>
      </c>
      <c r="D84" t="s">
        <v>61</v>
      </c>
      <c r="E84" t="s">
        <v>15</v>
      </c>
      <c r="F84" t="s">
        <v>16</v>
      </c>
      <c r="G84">
        <v>177</v>
      </c>
      <c r="H84">
        <v>156806</v>
      </c>
      <c r="I84">
        <f>G84/L84*100</f>
        <v>8.7060027150923716E-2</v>
      </c>
      <c r="J84">
        <f>G84/H84*100</f>
        <v>0.11287833373722943</v>
      </c>
      <c r="K84" t="s">
        <v>17</v>
      </c>
      <c r="L84">
        <v>203308</v>
      </c>
    </row>
    <row r="85" spans="1:12">
      <c r="A85" t="s">
        <v>60</v>
      </c>
      <c r="B85">
        <v>108</v>
      </c>
      <c r="C85">
        <v>1</v>
      </c>
      <c r="D85" t="s">
        <v>146</v>
      </c>
      <c r="E85" t="s">
        <v>88</v>
      </c>
      <c r="F85" t="s">
        <v>128</v>
      </c>
      <c r="G85">
        <v>72956</v>
      </c>
      <c r="H85">
        <v>156806</v>
      </c>
      <c r="I85">
        <f>G85/L85*100</f>
        <v>35.884470852106162</v>
      </c>
      <c r="J85">
        <f>G85/H85*100</f>
        <v>46.526280882109106</v>
      </c>
      <c r="K85" t="s">
        <v>92</v>
      </c>
      <c r="L85">
        <v>203308</v>
      </c>
    </row>
    <row r="86" spans="1:12">
      <c r="A86" t="s">
        <v>54</v>
      </c>
      <c r="B86">
        <v>109</v>
      </c>
      <c r="C86">
        <v>5</v>
      </c>
      <c r="D86" t="s">
        <v>55</v>
      </c>
      <c r="E86" t="s">
        <v>32</v>
      </c>
      <c r="F86" t="s">
        <v>40</v>
      </c>
      <c r="G86">
        <v>242</v>
      </c>
      <c r="H86">
        <v>149688</v>
      </c>
      <c r="I86">
        <f>G86/L86*100</f>
        <v>0.12197888051614204</v>
      </c>
      <c r="J86">
        <f>G86/H86*100</f>
        <v>0.16166960611405057</v>
      </c>
      <c r="K86" t="s">
        <v>17</v>
      </c>
      <c r="L86">
        <v>198395</v>
      </c>
    </row>
    <row r="87" spans="1:12">
      <c r="A87" t="s">
        <v>188</v>
      </c>
      <c r="B87">
        <v>110</v>
      </c>
      <c r="C87">
        <v>6</v>
      </c>
      <c r="D87" t="s">
        <v>189</v>
      </c>
      <c r="E87" t="s">
        <v>15</v>
      </c>
      <c r="F87" t="s">
        <v>16</v>
      </c>
      <c r="G87">
        <v>3966</v>
      </c>
      <c r="H87">
        <v>145518</v>
      </c>
      <c r="I87">
        <f>G87/L87*100</f>
        <v>2.0094035628153941</v>
      </c>
      <c r="J87">
        <f>G87/H87*100</f>
        <v>2.7254360285325525</v>
      </c>
      <c r="K87" t="s">
        <v>17</v>
      </c>
      <c r="L87">
        <v>197372</v>
      </c>
    </row>
    <row r="88" spans="1:12">
      <c r="A88" t="s">
        <v>194</v>
      </c>
      <c r="B88">
        <v>111</v>
      </c>
      <c r="C88">
        <v>5</v>
      </c>
      <c r="D88" t="s">
        <v>195</v>
      </c>
      <c r="E88" t="s">
        <v>32</v>
      </c>
      <c r="F88" t="s">
        <v>193</v>
      </c>
      <c r="G88">
        <v>444</v>
      </c>
      <c r="H88">
        <v>144542</v>
      </c>
      <c r="I88">
        <f>G88/L88*100</f>
        <v>0.21264571499727009</v>
      </c>
      <c r="J88">
        <f>G88/H88*100</f>
        <v>0.30717715266151013</v>
      </c>
      <c r="K88" t="s">
        <v>17</v>
      </c>
      <c r="L88">
        <v>208798</v>
      </c>
    </row>
    <row r="89" spans="1:12">
      <c r="A89" t="s">
        <v>74</v>
      </c>
      <c r="B89">
        <v>112</v>
      </c>
      <c r="C89">
        <v>6</v>
      </c>
      <c r="D89" t="s">
        <v>75</v>
      </c>
      <c r="E89" t="s">
        <v>15</v>
      </c>
      <c r="F89" t="s">
        <v>16</v>
      </c>
      <c r="G89">
        <v>298</v>
      </c>
      <c r="H89">
        <v>133927</v>
      </c>
      <c r="I89">
        <f>G89/L89*100</f>
        <v>0.15668047698163998</v>
      </c>
      <c r="J89">
        <f>G89/H89*100</f>
        <v>0.22250927744218865</v>
      </c>
      <c r="K89" t="s">
        <v>17</v>
      </c>
      <c r="L89">
        <v>190196</v>
      </c>
    </row>
    <row r="90" spans="1:12">
      <c r="A90" t="s">
        <v>74</v>
      </c>
      <c r="B90">
        <v>112</v>
      </c>
      <c r="C90">
        <v>2</v>
      </c>
      <c r="D90" t="s">
        <v>158</v>
      </c>
      <c r="E90" t="s">
        <v>88</v>
      </c>
      <c r="F90" t="s">
        <v>149</v>
      </c>
      <c r="G90">
        <v>44153</v>
      </c>
      <c r="H90">
        <v>133927</v>
      </c>
      <c r="I90">
        <f>G90/L90*100</f>
        <v>23.214473490504531</v>
      </c>
      <c r="J90">
        <f>G90/H90*100</f>
        <v>32.967960157399176</v>
      </c>
      <c r="K90" t="s">
        <v>26</v>
      </c>
      <c r="L90">
        <v>190196</v>
      </c>
    </row>
    <row r="91" spans="1:12">
      <c r="A91" t="s">
        <v>74</v>
      </c>
      <c r="B91">
        <v>112</v>
      </c>
      <c r="C91">
        <v>5</v>
      </c>
      <c r="D91" t="s">
        <v>196</v>
      </c>
      <c r="E91" t="s">
        <v>32</v>
      </c>
      <c r="F91" t="s">
        <v>193</v>
      </c>
      <c r="G91">
        <v>862</v>
      </c>
      <c r="H91">
        <v>133927</v>
      </c>
      <c r="I91">
        <f>G91/L91*100</f>
        <v>0.45321668173883783</v>
      </c>
      <c r="J91">
        <f>G91/H91*100</f>
        <v>0.64363421864149872</v>
      </c>
      <c r="K91" t="s">
        <v>17</v>
      </c>
      <c r="L91">
        <v>190196</v>
      </c>
    </row>
    <row r="92" spans="1:12">
      <c r="A92" t="s">
        <v>138</v>
      </c>
      <c r="B92">
        <v>113</v>
      </c>
      <c r="C92">
        <v>3</v>
      </c>
      <c r="D92" t="s">
        <v>139</v>
      </c>
      <c r="E92" t="s">
        <v>88</v>
      </c>
      <c r="F92" t="s">
        <v>128</v>
      </c>
      <c r="G92">
        <v>64523</v>
      </c>
      <c r="H92">
        <v>161432</v>
      </c>
      <c r="I92">
        <f>G92/L92*100</f>
        <v>28.306638063024529</v>
      </c>
      <c r="J92">
        <f>G92/H92*100</f>
        <v>39.969151097675805</v>
      </c>
      <c r="K92" t="s">
        <v>92</v>
      </c>
      <c r="L92">
        <v>227943</v>
      </c>
    </row>
    <row r="93" spans="1:12">
      <c r="A93" t="s">
        <v>76</v>
      </c>
      <c r="B93">
        <v>115</v>
      </c>
      <c r="C93">
        <v>7</v>
      </c>
      <c r="D93" t="s">
        <v>77</v>
      </c>
      <c r="E93" t="s">
        <v>15</v>
      </c>
      <c r="F93" t="s">
        <v>16</v>
      </c>
      <c r="G93">
        <v>408</v>
      </c>
      <c r="H93">
        <v>155018</v>
      </c>
      <c r="I93">
        <f>G93/L93*100</f>
        <v>0.195747294081523</v>
      </c>
      <c r="J93">
        <f>G93/H93*100</f>
        <v>0.26319524184288273</v>
      </c>
      <c r="K93" t="s">
        <v>17</v>
      </c>
      <c r="L93">
        <v>208432</v>
      </c>
    </row>
    <row r="94" spans="1:12">
      <c r="A94" t="s">
        <v>104</v>
      </c>
      <c r="B94">
        <v>118</v>
      </c>
      <c r="C94">
        <v>2</v>
      </c>
      <c r="D94" t="s">
        <v>105</v>
      </c>
      <c r="E94" t="s">
        <v>88</v>
      </c>
      <c r="F94" t="s">
        <v>97</v>
      </c>
      <c r="G94">
        <v>740</v>
      </c>
      <c r="H94">
        <v>159808</v>
      </c>
      <c r="I94">
        <f>G94/L94*100</f>
        <v>0.3548462892189066</v>
      </c>
      <c r="J94">
        <f>G94/H94*100</f>
        <v>0.46305566680016019</v>
      </c>
      <c r="K94" t="s">
        <v>17</v>
      </c>
      <c r="L94">
        <v>208541</v>
      </c>
    </row>
    <row r="95" spans="1:12">
      <c r="A95" t="s">
        <v>140</v>
      </c>
      <c r="B95">
        <v>119</v>
      </c>
      <c r="C95">
        <v>1</v>
      </c>
      <c r="D95" t="s">
        <v>141</v>
      </c>
      <c r="E95" t="s">
        <v>88</v>
      </c>
      <c r="F95" t="s">
        <v>128</v>
      </c>
      <c r="G95">
        <v>83443</v>
      </c>
      <c r="H95">
        <v>150513</v>
      </c>
      <c r="I95">
        <f>G95/L95*100</f>
        <v>41.599613133518794</v>
      </c>
      <c r="J95">
        <f>G95/H95*100</f>
        <v>55.439065064147286</v>
      </c>
      <c r="K95" t="s">
        <v>92</v>
      </c>
      <c r="L95">
        <v>200586</v>
      </c>
    </row>
    <row r="96" spans="1:12">
      <c r="A96" t="s">
        <v>140</v>
      </c>
      <c r="B96">
        <v>119</v>
      </c>
      <c r="C96">
        <v>2</v>
      </c>
      <c r="D96" t="s">
        <v>183</v>
      </c>
      <c r="E96" t="s">
        <v>88</v>
      </c>
      <c r="F96" t="s">
        <v>169</v>
      </c>
      <c r="G96">
        <v>24062</v>
      </c>
      <c r="H96">
        <v>150513</v>
      </c>
      <c r="I96">
        <f>G96/L96*100</f>
        <v>11.99585215319115</v>
      </c>
      <c r="J96">
        <f>G96/H96*100</f>
        <v>15.986658959691189</v>
      </c>
      <c r="K96" t="s">
        <v>17</v>
      </c>
      <c r="L96">
        <v>200586</v>
      </c>
    </row>
    <row r="97" spans="1:12">
      <c r="A97" t="s">
        <v>142</v>
      </c>
      <c r="B97">
        <v>123</v>
      </c>
      <c r="C97">
        <v>2</v>
      </c>
      <c r="D97" t="s">
        <v>143</v>
      </c>
      <c r="E97" t="s">
        <v>88</v>
      </c>
      <c r="F97" t="s">
        <v>128</v>
      </c>
      <c r="G97">
        <v>79047</v>
      </c>
      <c r="H97">
        <v>152558</v>
      </c>
      <c r="I97">
        <f>G97/L97*100</f>
        <v>39.491314578618422</v>
      </c>
      <c r="J97">
        <f>G97/H97*100</f>
        <v>51.814391903407234</v>
      </c>
      <c r="K97" t="s">
        <v>92</v>
      </c>
      <c r="L97">
        <v>200163</v>
      </c>
    </row>
    <row r="98" spans="1:12">
      <c r="A98" t="s">
        <v>79</v>
      </c>
      <c r="B98">
        <v>126</v>
      </c>
      <c r="C98">
        <v>5</v>
      </c>
      <c r="D98" t="s">
        <v>80</v>
      </c>
      <c r="E98" t="s">
        <v>32</v>
      </c>
      <c r="F98" t="s">
        <v>81</v>
      </c>
      <c r="G98">
        <v>212</v>
      </c>
      <c r="H98">
        <v>133199</v>
      </c>
      <c r="I98">
        <f>G98/L98*100</f>
        <v>0.11782490774087412</v>
      </c>
      <c r="J98">
        <f>G98/H98*100</f>
        <v>0.15916035405671214</v>
      </c>
      <c r="K98" t="s">
        <v>17</v>
      </c>
      <c r="L98">
        <v>179928</v>
      </c>
    </row>
    <row r="99" spans="1:12">
      <c r="A99" t="s">
        <v>175</v>
      </c>
      <c r="B99">
        <v>128</v>
      </c>
      <c r="C99">
        <v>2</v>
      </c>
      <c r="D99" t="s">
        <v>176</v>
      </c>
      <c r="E99" t="s">
        <v>88</v>
      </c>
      <c r="F99" t="s">
        <v>169</v>
      </c>
      <c r="G99">
        <v>27602</v>
      </c>
      <c r="H99">
        <v>138137</v>
      </c>
      <c r="I99">
        <f>G99/L99*100</f>
        <v>13.892831616988294</v>
      </c>
      <c r="J99">
        <f>G99/H99*100</f>
        <v>19.981612457198288</v>
      </c>
      <c r="K99" t="s">
        <v>26</v>
      </c>
      <c r="L99">
        <v>198678</v>
      </c>
    </row>
    <row r="100" spans="1:12">
      <c r="A100" t="s">
        <v>18</v>
      </c>
      <c r="B100">
        <v>129</v>
      </c>
      <c r="C100">
        <v>8</v>
      </c>
      <c r="D100" t="s">
        <v>19</v>
      </c>
      <c r="E100" t="s">
        <v>15</v>
      </c>
      <c r="F100" t="s">
        <v>16</v>
      </c>
      <c r="G100">
        <v>639</v>
      </c>
      <c r="H100">
        <v>138380</v>
      </c>
      <c r="I100">
        <f>G100/L100*100</f>
        <v>0.32423545887689709</v>
      </c>
      <c r="J100">
        <f>G100/H100*100</f>
        <v>0.46177193236016767</v>
      </c>
      <c r="K100" t="s">
        <v>17</v>
      </c>
      <c r="L100">
        <v>197079</v>
      </c>
    </row>
    <row r="101" spans="1:12">
      <c r="A101" t="s">
        <v>18</v>
      </c>
      <c r="B101">
        <v>129</v>
      </c>
      <c r="C101">
        <v>4</v>
      </c>
      <c r="D101" t="s">
        <v>31</v>
      </c>
      <c r="E101" t="s">
        <v>32</v>
      </c>
      <c r="F101" t="s">
        <v>33</v>
      </c>
      <c r="G101">
        <v>589</v>
      </c>
      <c r="H101">
        <v>138380</v>
      </c>
      <c r="I101">
        <f>G101/L101*100</f>
        <v>0.29886492218856398</v>
      </c>
      <c r="J101">
        <f>G101/H101*100</f>
        <v>0.42563954328660214</v>
      </c>
      <c r="K101" t="s">
        <v>17</v>
      </c>
      <c r="L101">
        <v>197079</v>
      </c>
    </row>
    <row r="102" spans="1:12">
      <c r="A102" t="s">
        <v>190</v>
      </c>
      <c r="B102">
        <v>132</v>
      </c>
      <c r="C102">
        <v>11</v>
      </c>
      <c r="D102" t="s">
        <v>191</v>
      </c>
      <c r="E102" t="s">
        <v>15</v>
      </c>
      <c r="F102" t="s">
        <v>16</v>
      </c>
      <c r="G102">
        <v>83</v>
      </c>
      <c r="H102">
        <v>133959</v>
      </c>
      <c r="I102">
        <f>G102/L102*100</f>
        <v>4.5661849249880343E-2</v>
      </c>
      <c r="J102">
        <f>G102/H102*100</f>
        <v>6.195925619032689E-2</v>
      </c>
      <c r="K102" t="s">
        <v>17</v>
      </c>
      <c r="L102">
        <v>181771</v>
      </c>
    </row>
    <row r="103" spans="1:12">
      <c r="A103" t="s">
        <v>190</v>
      </c>
      <c r="B103">
        <v>132</v>
      </c>
      <c r="C103">
        <v>7</v>
      </c>
      <c r="D103" t="s">
        <v>209</v>
      </c>
      <c r="E103" t="s">
        <v>15</v>
      </c>
      <c r="F103" t="s">
        <v>16</v>
      </c>
      <c r="G103">
        <v>84</v>
      </c>
      <c r="H103">
        <v>133959</v>
      </c>
      <c r="I103">
        <f>G103/L103*100</f>
        <v>4.6211992011927099E-2</v>
      </c>
      <c r="J103">
        <f>G103/H103*100</f>
        <v>6.2705753252860957E-2</v>
      </c>
      <c r="K103" t="s">
        <v>17</v>
      </c>
      <c r="L103">
        <v>181771</v>
      </c>
    </row>
    <row r="104" spans="1:12">
      <c r="A104" t="s">
        <v>20</v>
      </c>
      <c r="B104">
        <v>133</v>
      </c>
      <c r="C104">
        <v>6</v>
      </c>
      <c r="D104" t="s">
        <v>21</v>
      </c>
      <c r="E104" t="s">
        <v>15</v>
      </c>
      <c r="F104" t="s">
        <v>16</v>
      </c>
      <c r="G104">
        <v>53</v>
      </c>
      <c r="H104">
        <v>137108</v>
      </c>
      <c r="I104">
        <f>G104/L104*100</f>
        <v>2.714621566387863E-2</v>
      </c>
      <c r="J104">
        <f>G104/H104*100</f>
        <v>3.8655658313154595E-2</v>
      </c>
      <c r="K104" t="s">
        <v>17</v>
      </c>
      <c r="L104">
        <v>195239</v>
      </c>
    </row>
    <row r="105" spans="1:12">
      <c r="A105" t="s">
        <v>20</v>
      </c>
      <c r="B105">
        <v>133</v>
      </c>
      <c r="C105">
        <v>4</v>
      </c>
      <c r="D105" t="s">
        <v>144</v>
      </c>
      <c r="E105" t="s">
        <v>88</v>
      </c>
      <c r="F105" t="s">
        <v>128</v>
      </c>
      <c r="G105">
        <v>40441</v>
      </c>
      <c r="H105">
        <v>137108</v>
      </c>
      <c r="I105">
        <f>G105/L105*100</f>
        <v>20.713586937036148</v>
      </c>
      <c r="J105">
        <f>G105/H105*100</f>
        <v>29.495725997024241</v>
      </c>
      <c r="K105" t="s">
        <v>26</v>
      </c>
      <c r="L105">
        <v>195239</v>
      </c>
    </row>
    <row r="106" spans="1:12">
      <c r="A106" t="s">
        <v>106</v>
      </c>
      <c r="B106">
        <v>134</v>
      </c>
      <c r="C106">
        <v>1</v>
      </c>
      <c r="D106" t="s">
        <v>107</v>
      </c>
      <c r="E106" t="s">
        <v>88</v>
      </c>
      <c r="F106" t="s">
        <v>97</v>
      </c>
      <c r="G106">
        <v>398</v>
      </c>
      <c r="H106">
        <v>126212</v>
      </c>
      <c r="I106">
        <f>G106/L106*100</f>
        <v>0.20610975603440684</v>
      </c>
      <c r="J106">
        <f>G106/H106*100</f>
        <v>0.315342439704624</v>
      </c>
      <c r="K106" t="s">
        <v>17</v>
      </c>
      <c r="L106">
        <v>193101</v>
      </c>
    </row>
    <row r="107" spans="1:12">
      <c r="A107" t="s">
        <v>36</v>
      </c>
      <c r="B107">
        <v>135</v>
      </c>
      <c r="C107">
        <v>8</v>
      </c>
      <c r="D107" t="s">
        <v>37</v>
      </c>
      <c r="E107" t="s">
        <v>15</v>
      </c>
      <c r="F107" t="s">
        <v>16</v>
      </c>
      <c r="G107">
        <v>330</v>
      </c>
      <c r="H107">
        <v>142882</v>
      </c>
      <c r="I107">
        <f>G107/L107*100</f>
        <v>0.17146509126619178</v>
      </c>
      <c r="J107">
        <f>G107/H107*100</f>
        <v>0.23095981299253929</v>
      </c>
      <c r="K107" t="s">
        <v>17</v>
      </c>
      <c r="L107">
        <v>192459</v>
      </c>
    </row>
    <row r="108" spans="1:12">
      <c r="A108" t="s">
        <v>83</v>
      </c>
      <c r="B108">
        <v>136</v>
      </c>
      <c r="C108">
        <v>6</v>
      </c>
      <c r="D108" t="s">
        <v>84</v>
      </c>
      <c r="E108" t="s">
        <v>15</v>
      </c>
      <c r="F108" t="s">
        <v>16</v>
      </c>
      <c r="G108">
        <v>130</v>
      </c>
      <c r="H108">
        <v>143761</v>
      </c>
      <c r="I108">
        <f>G108/L108*100</f>
        <v>6.8599773093058231E-2</v>
      </c>
      <c r="J108">
        <f>G108/H108*100</f>
        <v>9.0427862911359819E-2</v>
      </c>
      <c r="K108" t="s">
        <v>17</v>
      </c>
      <c r="L108">
        <v>189505</v>
      </c>
    </row>
    <row r="109" spans="1:12">
      <c r="A109" t="s">
        <v>83</v>
      </c>
      <c r="B109">
        <v>136</v>
      </c>
      <c r="C109">
        <v>2</v>
      </c>
      <c r="D109" t="s">
        <v>108</v>
      </c>
      <c r="E109" t="s">
        <v>88</v>
      </c>
      <c r="F109" t="s">
        <v>97</v>
      </c>
      <c r="G109">
        <v>673</v>
      </c>
      <c r="H109">
        <v>143761</v>
      </c>
      <c r="I109">
        <f>G109/L109*100</f>
        <v>0.35513574839713991</v>
      </c>
      <c r="J109">
        <f>G109/H109*100</f>
        <v>0.46813809030265507</v>
      </c>
      <c r="K109" t="s">
        <v>17</v>
      </c>
      <c r="L109">
        <v>189505</v>
      </c>
    </row>
    <row r="110" spans="1:12">
      <c r="A110" t="s">
        <v>56</v>
      </c>
      <c r="B110">
        <v>138</v>
      </c>
      <c r="C110">
        <v>6</v>
      </c>
      <c r="D110" t="s">
        <v>57</v>
      </c>
      <c r="E110" t="s">
        <v>32</v>
      </c>
      <c r="F110" t="s">
        <v>40</v>
      </c>
      <c r="G110">
        <v>295</v>
      </c>
      <c r="H110">
        <v>143634</v>
      </c>
      <c r="I110">
        <f>G110/L110*100</f>
        <v>0.15742400956284153</v>
      </c>
      <c r="J110">
        <f>G110/H110*100</f>
        <v>0.20538312655777879</v>
      </c>
      <c r="K110" t="s">
        <v>17</v>
      </c>
      <c r="L110">
        <v>187392</v>
      </c>
    </row>
    <row r="111" spans="1:12">
      <c r="A111" t="s">
        <v>22</v>
      </c>
      <c r="B111">
        <v>139</v>
      </c>
      <c r="C111">
        <v>2</v>
      </c>
      <c r="D111" t="s">
        <v>23</v>
      </c>
      <c r="E111" t="s">
        <v>24</v>
      </c>
      <c r="F111" t="s">
        <v>25</v>
      </c>
      <c r="G111">
        <v>57653</v>
      </c>
      <c r="H111">
        <v>153966</v>
      </c>
      <c r="I111">
        <f>G111/L111*100</f>
        <v>27.796634684923582</v>
      </c>
      <c r="J111">
        <f>G111/H111*100</f>
        <v>37.445280126781242</v>
      </c>
      <c r="K111" t="s">
        <v>26</v>
      </c>
      <c r="L111">
        <v>207410</v>
      </c>
    </row>
    <row r="112" spans="1:12">
      <c r="A112" t="s">
        <v>22</v>
      </c>
      <c r="B112">
        <v>139</v>
      </c>
      <c r="C112">
        <v>5</v>
      </c>
      <c r="D112" t="s">
        <v>78</v>
      </c>
      <c r="E112" t="s">
        <v>32</v>
      </c>
      <c r="F112" t="s">
        <v>68</v>
      </c>
      <c r="G112">
        <v>558</v>
      </c>
      <c r="H112">
        <v>153966</v>
      </c>
      <c r="I112">
        <f>G112/L112*100</f>
        <v>0.26903235138132203</v>
      </c>
      <c r="J112">
        <f>G112/H112*100</f>
        <v>0.36241767662990532</v>
      </c>
      <c r="K112" t="s">
        <v>17</v>
      </c>
      <c r="L112">
        <v>207410</v>
      </c>
    </row>
  </sheetData>
  <sortState ref="A3:L112">
    <sortCondition ref="B3:B112"/>
  </sortState>
  <mergeCells count="1">
    <mergeCell ref="A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2016-08-22T06:54:40Z</dcterms:created>
  <dcterms:modified xsi:type="dcterms:W3CDTF">2016-08-22T07:23:05Z</dcterms:modified>
</cp:coreProperties>
</file>