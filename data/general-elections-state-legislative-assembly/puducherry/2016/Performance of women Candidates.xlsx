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WorksheetName" sheetId="2" r:id="rId1"/>
  </sheets>
  <calcPr calcId="125725"/>
</workbook>
</file>

<file path=xl/calcChain.xml><?xml version="1.0" encoding="utf-8"?>
<calcChain xmlns="http://schemas.openxmlformats.org/spreadsheetml/2006/main">
  <c r="I9" i="2"/>
  <c r="J9"/>
  <c r="I13"/>
  <c r="J13"/>
  <c r="I17"/>
  <c r="J17"/>
  <c r="I16"/>
  <c r="J16"/>
  <c r="I4"/>
  <c r="J4"/>
  <c r="I18"/>
  <c r="J18"/>
  <c r="I7"/>
  <c r="J7"/>
  <c r="I23"/>
  <c r="J23"/>
  <c r="I20"/>
  <c r="J20"/>
  <c r="I6"/>
  <c r="J6"/>
  <c r="I10"/>
  <c r="J10"/>
  <c r="I11"/>
  <c r="J11"/>
  <c r="I14"/>
  <c r="J14"/>
  <c r="I21"/>
  <c r="J21"/>
  <c r="I19"/>
  <c r="J19"/>
  <c r="I12"/>
  <c r="J12"/>
  <c r="I3"/>
  <c r="J3"/>
  <c r="I15"/>
  <c r="J15"/>
  <c r="I5"/>
  <c r="J5"/>
  <c r="I22"/>
  <c r="J22"/>
  <c r="I8"/>
  <c r="J8"/>
</calcChain>
</file>

<file path=xl/sharedStrings.xml><?xml version="1.0" encoding="utf-8"?>
<sst xmlns="http://schemas.openxmlformats.org/spreadsheetml/2006/main" count="118" uniqueCount="69">
  <si>
    <t>Performance Of Women Candidates</t>
  </si>
  <si>
    <t>Constituency Name</t>
  </si>
  <si>
    <t>Constituency No.</t>
  </si>
  <si>
    <t>Candidate No.</t>
  </si>
  <si>
    <t>Candidate Name</t>
  </si>
  <si>
    <t>Party Type</t>
  </si>
  <si>
    <t>Party Name</t>
  </si>
  <si>
    <t xml:space="preserve"> Vote Secured</t>
  </si>
  <si>
    <t xml:space="preserve"> Total Valid Votes</t>
  </si>
  <si>
    <t xml:space="preserve"> % of Votes Secured Over Total Electors</t>
  </si>
  <si>
    <t xml:space="preserve"> % of Votes Secured Over Total Votes Poled</t>
  </si>
  <si>
    <t xml:space="preserve"> Status</t>
  </si>
  <si>
    <t>Total Electors</t>
  </si>
  <si>
    <t>Kalapet</t>
  </si>
  <si>
    <t>V. KUMARI</t>
  </si>
  <si>
    <t>U</t>
  </si>
  <si>
    <t>NTK</t>
  </si>
  <si>
    <t>FD</t>
  </si>
  <si>
    <t>Oupalam</t>
  </si>
  <si>
    <t>S. KALA</t>
  </si>
  <si>
    <t>Bahour</t>
  </si>
  <si>
    <t>SIVAKAMI, P.</t>
  </si>
  <si>
    <t>N</t>
  </si>
  <si>
    <t>CPM</t>
  </si>
  <si>
    <t>Nettapakkam</t>
  </si>
  <si>
    <t>VIZEAVENY, V.</t>
  </si>
  <si>
    <t>INC</t>
  </si>
  <si>
    <t>W</t>
  </si>
  <si>
    <t>Thirubhuvanai</t>
  </si>
  <si>
    <t>B. KOBIGA</t>
  </si>
  <si>
    <t>S</t>
  </si>
  <si>
    <t>AINRC</t>
  </si>
  <si>
    <t>Nedungadu</t>
  </si>
  <si>
    <t>CHANDIRAPRIYANGA</t>
  </si>
  <si>
    <t>Mangalam</t>
  </si>
  <si>
    <t>M. LATCHOUMY DITE SRIVARAMANGUE</t>
  </si>
  <si>
    <t>BJP</t>
  </si>
  <si>
    <t>Yanam</t>
  </si>
  <si>
    <t>MALLADI UDAYALAKSHMI</t>
  </si>
  <si>
    <t>Z</t>
  </si>
  <si>
    <t>IND</t>
  </si>
  <si>
    <t>Neravy T.R. Pattinam</t>
  </si>
  <si>
    <t>A.GEETHA</t>
  </si>
  <si>
    <t>DMK</t>
  </si>
  <si>
    <t>Oussudu</t>
  </si>
  <si>
    <t>R. JEYAPRIYA</t>
  </si>
  <si>
    <t>IJK</t>
  </si>
  <si>
    <t>L. SUBBULAKSHMI</t>
  </si>
  <si>
    <t>Raj bhavan</t>
  </si>
  <si>
    <t>S. KAVITHA</t>
  </si>
  <si>
    <t>Nellithope</t>
  </si>
  <si>
    <t>U. CHITRA</t>
  </si>
  <si>
    <t>Mahe</t>
  </si>
  <si>
    <t>K.E. SULOCHANA</t>
  </si>
  <si>
    <t>Thirunallar</t>
  </si>
  <si>
    <t>LOURDUMARY. R</t>
  </si>
  <si>
    <t>K. RAJESWARI</t>
  </si>
  <si>
    <t>MDMK</t>
  </si>
  <si>
    <t>Mannadipet</t>
  </si>
  <si>
    <t>MAHADEVI</t>
  </si>
  <si>
    <t>ADMK</t>
  </si>
  <si>
    <t>L</t>
  </si>
  <si>
    <t>Embalam</t>
  </si>
  <si>
    <t>ELLAMMAL, R.</t>
  </si>
  <si>
    <t>CPI(ML)(L)</t>
  </si>
  <si>
    <t>S. KOMALA</t>
  </si>
  <si>
    <t>JANAKY TEACHER</t>
  </si>
  <si>
    <t>Ozhukarai</t>
  </si>
  <si>
    <t>V. GANDHIMATHISREE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</si>
</sst>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vertical="top" wrapText="1"/>
    </xf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topLeftCell="A10" workbookViewId="0">
      <selection activeCell="O12" sqref="O12"/>
    </sheetView>
  </sheetViews>
  <sheetFormatPr defaultRowHeight="15"/>
  <cols>
    <col min="1" max="1" width="16" customWidth="1"/>
    <col min="2" max="2" width="13.5703125" customWidth="1"/>
    <col min="3" max="3" width="11" customWidth="1"/>
    <col min="4" max="4" width="12.5703125" customWidth="1"/>
    <col min="9" max="9" width="13.140625" customWidth="1"/>
    <col min="10" max="10" width="12.140625" customWidth="1"/>
  </cols>
  <sheetData>
    <row r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s="1" customFormat="1" ht="65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t="s">
        <v>58</v>
      </c>
      <c r="B3">
        <v>1</v>
      </c>
      <c r="C3">
        <v>5</v>
      </c>
      <c r="D3" t="s">
        <v>59</v>
      </c>
      <c r="E3" t="s">
        <v>30</v>
      </c>
      <c r="F3" t="s">
        <v>60</v>
      </c>
      <c r="G3">
        <v>5676</v>
      </c>
      <c r="H3">
        <v>27560</v>
      </c>
      <c r="I3">
        <f>G3/L3*100</f>
        <v>18.483782727627979</v>
      </c>
      <c r="J3">
        <f>G3/H3*100</f>
        <v>20.595065312046444</v>
      </c>
      <c r="K3" t="s">
        <v>61</v>
      </c>
      <c r="L3">
        <v>30708</v>
      </c>
    </row>
    <row r="4" spans="1:12">
      <c r="A4" t="s">
        <v>28</v>
      </c>
      <c r="B4">
        <v>2</v>
      </c>
      <c r="C4">
        <v>3</v>
      </c>
      <c r="D4" t="s">
        <v>29</v>
      </c>
      <c r="E4" t="s">
        <v>30</v>
      </c>
      <c r="F4" t="s">
        <v>31</v>
      </c>
      <c r="G4">
        <v>12143</v>
      </c>
      <c r="H4">
        <v>27150</v>
      </c>
      <c r="I4">
        <f>G4/L4*100</f>
        <v>39.912569024454378</v>
      </c>
      <c r="J4">
        <f>G4/H4*100</f>
        <v>44.7255985267035</v>
      </c>
      <c r="K4" t="s">
        <v>27</v>
      </c>
      <c r="L4">
        <v>30424</v>
      </c>
    </row>
    <row r="5" spans="1:12">
      <c r="A5" t="s">
        <v>28</v>
      </c>
      <c r="B5">
        <v>2</v>
      </c>
      <c r="C5">
        <v>11</v>
      </c>
      <c r="D5" t="s">
        <v>65</v>
      </c>
      <c r="E5" t="s">
        <v>39</v>
      </c>
      <c r="F5" t="s">
        <v>40</v>
      </c>
      <c r="G5">
        <v>113</v>
      </c>
      <c r="H5">
        <v>27150</v>
      </c>
      <c r="I5">
        <f>G5/L5*100</f>
        <v>0.37141730212989749</v>
      </c>
      <c r="J5">
        <f>G5/H5*100</f>
        <v>0.41620626151012885</v>
      </c>
      <c r="K5" t="s">
        <v>17</v>
      </c>
      <c r="L5">
        <v>30424</v>
      </c>
    </row>
    <row r="6" spans="1:12">
      <c r="A6" t="s">
        <v>44</v>
      </c>
      <c r="B6">
        <v>3</v>
      </c>
      <c r="C6">
        <v>8</v>
      </c>
      <c r="D6" t="s">
        <v>45</v>
      </c>
      <c r="E6" t="s">
        <v>15</v>
      </c>
      <c r="F6" t="s">
        <v>46</v>
      </c>
      <c r="G6">
        <v>31</v>
      </c>
      <c r="H6">
        <v>26273</v>
      </c>
      <c r="I6">
        <f>G6/L6*100</f>
        <v>0.10699986193566202</v>
      </c>
      <c r="J6">
        <f>G6/H6*100</f>
        <v>0.11799185475583299</v>
      </c>
      <c r="K6" t="s">
        <v>17</v>
      </c>
      <c r="L6">
        <v>28972</v>
      </c>
    </row>
    <row r="7" spans="1:12">
      <c r="A7" t="s">
        <v>34</v>
      </c>
      <c r="B7">
        <v>4</v>
      </c>
      <c r="C7">
        <v>5</v>
      </c>
      <c r="D7" t="s">
        <v>35</v>
      </c>
      <c r="E7" t="s">
        <v>22</v>
      </c>
      <c r="F7" t="s">
        <v>36</v>
      </c>
      <c r="G7">
        <v>272</v>
      </c>
      <c r="H7">
        <v>31283</v>
      </c>
      <c r="I7">
        <f>G7/L7*100</f>
        <v>0.78109295580507132</v>
      </c>
      <c r="J7">
        <f>G7/H7*100</f>
        <v>0.86948182719048683</v>
      </c>
      <c r="K7" t="s">
        <v>17</v>
      </c>
      <c r="L7">
        <v>34823</v>
      </c>
    </row>
    <row r="8" spans="1:12">
      <c r="A8" t="s">
        <v>67</v>
      </c>
      <c r="B8">
        <v>6</v>
      </c>
      <c r="C8">
        <v>9</v>
      </c>
      <c r="D8" t="s">
        <v>68</v>
      </c>
      <c r="E8" t="s">
        <v>39</v>
      </c>
      <c r="F8" t="s">
        <v>40</v>
      </c>
      <c r="G8">
        <v>19</v>
      </c>
      <c r="H8">
        <v>30838</v>
      </c>
      <c r="I8">
        <f>G8/L8*100</f>
        <v>5.0848364823636465E-2</v>
      </c>
      <c r="J8">
        <f>G8/H8*100</f>
        <v>6.1612296517283865E-2</v>
      </c>
      <c r="K8" t="s">
        <v>17</v>
      </c>
      <c r="L8">
        <v>37366</v>
      </c>
    </row>
    <row r="9" spans="1:12">
      <c r="A9" t="s">
        <v>13</v>
      </c>
      <c r="B9">
        <v>12</v>
      </c>
      <c r="C9">
        <v>7</v>
      </c>
      <c r="D9" t="s">
        <v>14</v>
      </c>
      <c r="E9" t="s">
        <v>15</v>
      </c>
      <c r="F9" t="s">
        <v>16</v>
      </c>
      <c r="G9">
        <v>89</v>
      </c>
      <c r="H9">
        <v>28042</v>
      </c>
      <c r="I9">
        <f>G9/L9*100</f>
        <v>0.27805548612846787</v>
      </c>
      <c r="J9">
        <f>G9/H9*100</f>
        <v>0.31738107125026743</v>
      </c>
      <c r="K9" t="s">
        <v>17</v>
      </c>
      <c r="L9">
        <v>32008</v>
      </c>
    </row>
    <row r="10" spans="1:12">
      <c r="A10" t="s">
        <v>13</v>
      </c>
      <c r="B10">
        <v>12</v>
      </c>
      <c r="C10">
        <v>9</v>
      </c>
      <c r="D10" t="s">
        <v>47</v>
      </c>
      <c r="E10" t="s">
        <v>15</v>
      </c>
      <c r="F10" t="s">
        <v>46</v>
      </c>
      <c r="G10">
        <v>33</v>
      </c>
      <c r="H10">
        <v>28042</v>
      </c>
      <c r="I10">
        <f>G10/L10*100</f>
        <v>0.10309922519370159</v>
      </c>
      <c r="J10">
        <f>G10/H10*100</f>
        <v>0.11768062192425648</v>
      </c>
      <c r="K10" t="s">
        <v>17</v>
      </c>
      <c r="L10">
        <v>32008</v>
      </c>
    </row>
    <row r="11" spans="1:12">
      <c r="A11" t="s">
        <v>48</v>
      </c>
      <c r="B11">
        <v>14</v>
      </c>
      <c r="C11">
        <v>6</v>
      </c>
      <c r="D11" t="s">
        <v>49</v>
      </c>
      <c r="E11" t="s">
        <v>15</v>
      </c>
      <c r="F11" t="s">
        <v>46</v>
      </c>
      <c r="G11">
        <v>39</v>
      </c>
      <c r="H11">
        <v>19997</v>
      </c>
      <c r="I11">
        <f>G11/L11*100</f>
        <v>0.15168014934660859</v>
      </c>
      <c r="J11">
        <f>G11/H11*100</f>
        <v>0.19502925438815824</v>
      </c>
      <c r="K11" t="s">
        <v>17</v>
      </c>
      <c r="L11">
        <v>25712</v>
      </c>
    </row>
    <row r="12" spans="1:12">
      <c r="A12" t="s">
        <v>48</v>
      </c>
      <c r="B12">
        <v>14</v>
      </c>
      <c r="C12">
        <v>7</v>
      </c>
      <c r="D12" t="s">
        <v>56</v>
      </c>
      <c r="E12" t="s">
        <v>15</v>
      </c>
      <c r="F12" t="s">
        <v>57</v>
      </c>
      <c r="G12">
        <v>47</v>
      </c>
      <c r="H12">
        <v>19997</v>
      </c>
      <c r="I12">
        <f>G12/L12*100</f>
        <v>0.18279402613565648</v>
      </c>
      <c r="J12">
        <f>G12/H12*100</f>
        <v>0.23503525528829325</v>
      </c>
      <c r="K12" t="s">
        <v>17</v>
      </c>
      <c r="L12">
        <v>25712</v>
      </c>
    </row>
    <row r="13" spans="1:12">
      <c r="A13" t="s">
        <v>18</v>
      </c>
      <c r="B13">
        <v>15</v>
      </c>
      <c r="C13">
        <v>8</v>
      </c>
      <c r="D13" t="s">
        <v>19</v>
      </c>
      <c r="E13" t="s">
        <v>15</v>
      </c>
      <c r="F13" t="s">
        <v>16</v>
      </c>
      <c r="G13">
        <v>88</v>
      </c>
      <c r="H13">
        <v>23545</v>
      </c>
      <c r="I13">
        <f>G13/L13*100</f>
        <v>0.32725920416511717</v>
      </c>
      <c r="J13">
        <f>G13/H13*100</f>
        <v>0.37375238904225949</v>
      </c>
      <c r="K13" t="s">
        <v>17</v>
      </c>
      <c r="L13">
        <v>26890</v>
      </c>
    </row>
    <row r="14" spans="1:12">
      <c r="A14" t="s">
        <v>50</v>
      </c>
      <c r="B14">
        <v>17</v>
      </c>
      <c r="C14">
        <v>7</v>
      </c>
      <c r="D14" t="s">
        <v>51</v>
      </c>
      <c r="E14" t="s">
        <v>15</v>
      </c>
      <c r="F14" t="s">
        <v>46</v>
      </c>
      <c r="G14">
        <v>51</v>
      </c>
      <c r="H14">
        <v>26759</v>
      </c>
      <c r="I14">
        <f>G14/L14*100</f>
        <v>0.162596442007269</v>
      </c>
      <c r="J14">
        <f>G14/H14*100</f>
        <v>0.19059008184162338</v>
      </c>
      <c r="K14" t="s">
        <v>17</v>
      </c>
      <c r="L14">
        <v>31366</v>
      </c>
    </row>
    <row r="15" spans="1:12">
      <c r="A15" t="s">
        <v>62</v>
      </c>
      <c r="B15">
        <v>21</v>
      </c>
      <c r="C15">
        <v>6</v>
      </c>
      <c r="D15" t="s">
        <v>63</v>
      </c>
      <c r="E15" t="s">
        <v>15</v>
      </c>
      <c r="F15" t="s">
        <v>64</v>
      </c>
      <c r="G15">
        <v>82</v>
      </c>
      <c r="H15">
        <v>28668</v>
      </c>
      <c r="I15">
        <f>G15/L15*100</f>
        <v>0.26126298349582616</v>
      </c>
      <c r="J15">
        <f>G15/H15*100</f>
        <v>0.28603320775777874</v>
      </c>
      <c r="K15" t="s">
        <v>17</v>
      </c>
      <c r="L15">
        <v>31386</v>
      </c>
    </row>
    <row r="16" spans="1:12">
      <c r="A16" t="s">
        <v>24</v>
      </c>
      <c r="B16">
        <v>22</v>
      </c>
      <c r="C16">
        <v>4</v>
      </c>
      <c r="D16" t="s">
        <v>25</v>
      </c>
      <c r="E16" t="s">
        <v>22</v>
      </c>
      <c r="F16" t="s">
        <v>26</v>
      </c>
      <c r="G16">
        <v>10577</v>
      </c>
      <c r="H16">
        <v>27146</v>
      </c>
      <c r="I16">
        <f>G16/L16*100</f>
        <v>34.493216801460996</v>
      </c>
      <c r="J16">
        <f>G16/H16*100</f>
        <v>38.963383187209907</v>
      </c>
      <c r="K16" t="s">
        <v>27</v>
      </c>
      <c r="L16">
        <v>30664</v>
      </c>
    </row>
    <row r="17" spans="1:12">
      <c r="A17" t="s">
        <v>20</v>
      </c>
      <c r="B17">
        <v>23</v>
      </c>
      <c r="C17">
        <v>1</v>
      </c>
      <c r="D17" t="s">
        <v>21</v>
      </c>
      <c r="E17" t="s">
        <v>22</v>
      </c>
      <c r="F17" t="s">
        <v>23</v>
      </c>
      <c r="G17">
        <v>457</v>
      </c>
      <c r="H17">
        <v>24680</v>
      </c>
      <c r="I17">
        <f>G17/L17*100</f>
        <v>1.6351796192929726</v>
      </c>
      <c r="J17">
        <f>G17/H17*100</f>
        <v>1.8517017828200972</v>
      </c>
      <c r="K17" t="s">
        <v>17</v>
      </c>
      <c r="L17">
        <v>27948</v>
      </c>
    </row>
    <row r="18" spans="1:12">
      <c r="A18" t="s">
        <v>32</v>
      </c>
      <c r="B18">
        <v>24</v>
      </c>
      <c r="C18">
        <v>2</v>
      </c>
      <c r="D18" t="s">
        <v>33</v>
      </c>
      <c r="E18" t="s">
        <v>30</v>
      </c>
      <c r="F18" t="s">
        <v>31</v>
      </c>
      <c r="G18">
        <v>8789</v>
      </c>
      <c r="H18">
        <v>25491</v>
      </c>
      <c r="I18">
        <f>G18/L18*100</f>
        <v>28.672560597657654</v>
      </c>
      <c r="J18">
        <f>G18/H18*100</f>
        <v>34.478835667490486</v>
      </c>
      <c r="K18" t="s">
        <v>27</v>
      </c>
      <c r="L18">
        <v>30653</v>
      </c>
    </row>
    <row r="19" spans="1:12">
      <c r="A19" t="s">
        <v>54</v>
      </c>
      <c r="B19">
        <v>25</v>
      </c>
      <c r="C19">
        <v>11</v>
      </c>
      <c r="D19" t="s">
        <v>55</v>
      </c>
      <c r="E19" t="s">
        <v>39</v>
      </c>
      <c r="F19" t="s">
        <v>40</v>
      </c>
      <c r="G19">
        <v>115</v>
      </c>
      <c r="H19">
        <v>25611</v>
      </c>
      <c r="I19">
        <f>G19/L19*100</f>
        <v>0.38118598561437234</v>
      </c>
      <c r="J19">
        <f>G19/H19*100</f>
        <v>0.44902580922259966</v>
      </c>
      <c r="K19" t="s">
        <v>17</v>
      </c>
      <c r="L19">
        <v>30169</v>
      </c>
    </row>
    <row r="20" spans="1:12">
      <c r="A20" t="s">
        <v>41</v>
      </c>
      <c r="B20">
        <v>28</v>
      </c>
      <c r="C20">
        <v>2</v>
      </c>
      <c r="D20" t="s">
        <v>42</v>
      </c>
      <c r="E20" t="s">
        <v>30</v>
      </c>
      <c r="F20" t="s">
        <v>43</v>
      </c>
      <c r="G20">
        <v>14993</v>
      </c>
      <c r="H20">
        <v>24910</v>
      </c>
      <c r="I20">
        <f>G20/L20*100</f>
        <v>51.043475300445984</v>
      </c>
      <c r="J20">
        <f>G20/H20*100</f>
        <v>60.188679245283019</v>
      </c>
      <c r="K20" t="s">
        <v>27</v>
      </c>
      <c r="L20">
        <v>29373</v>
      </c>
    </row>
    <row r="21" spans="1:12">
      <c r="A21" t="s">
        <v>52</v>
      </c>
      <c r="B21">
        <v>29</v>
      </c>
      <c r="C21">
        <v>10</v>
      </c>
      <c r="D21" t="s">
        <v>53</v>
      </c>
      <c r="E21" t="s">
        <v>39</v>
      </c>
      <c r="F21" t="s">
        <v>40</v>
      </c>
      <c r="G21">
        <v>182</v>
      </c>
      <c r="H21">
        <v>23479</v>
      </c>
      <c r="I21">
        <f>G21/L21*100</f>
        <v>0.60302839534806663</v>
      </c>
      <c r="J21">
        <f>G21/H21*100</f>
        <v>0.7751607819753823</v>
      </c>
      <c r="K21" t="s">
        <v>17</v>
      </c>
      <c r="L21">
        <v>30181</v>
      </c>
    </row>
    <row r="22" spans="1:12">
      <c r="A22" t="s">
        <v>52</v>
      </c>
      <c r="B22">
        <v>29</v>
      </c>
      <c r="C22">
        <v>8</v>
      </c>
      <c r="D22" t="s">
        <v>66</v>
      </c>
      <c r="E22" t="s">
        <v>39</v>
      </c>
      <c r="F22" t="s">
        <v>40</v>
      </c>
      <c r="G22">
        <v>51</v>
      </c>
      <c r="H22">
        <v>23479</v>
      </c>
      <c r="I22">
        <f>G22/L22*100</f>
        <v>0.16898048441072197</v>
      </c>
      <c r="J22">
        <f>G22/H22*100</f>
        <v>0.21721538396013459</v>
      </c>
      <c r="K22" t="s">
        <v>17</v>
      </c>
      <c r="L22">
        <v>30181</v>
      </c>
    </row>
    <row r="23" spans="1:12">
      <c r="A23" t="s">
        <v>37</v>
      </c>
      <c r="B23">
        <v>30</v>
      </c>
      <c r="C23">
        <v>9</v>
      </c>
      <c r="D23" t="s">
        <v>38</v>
      </c>
      <c r="E23" t="s">
        <v>39</v>
      </c>
      <c r="F23" t="s">
        <v>40</v>
      </c>
      <c r="G23">
        <v>32</v>
      </c>
      <c r="H23">
        <v>33899</v>
      </c>
      <c r="I23">
        <f>G23/L23*100</f>
        <v>8.7534535109554931E-2</v>
      </c>
      <c r="J23">
        <f>G23/H23*100</f>
        <v>9.4398064839670781E-2</v>
      </c>
      <c r="K23" t="s">
        <v>17</v>
      </c>
      <c r="L23">
        <v>36557</v>
      </c>
    </row>
  </sheetData>
  <sortState ref="A3:L23">
    <sortCondition ref="B3:B23"/>
  </sortState>
  <mergeCells count="1">
    <mergeCell ref="A1:L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2016-08-22T07:05:08Z</dcterms:created>
  <dcterms:modified xsi:type="dcterms:W3CDTF">2016-08-22T09:12:24Z</dcterms:modified>
</cp:coreProperties>
</file>