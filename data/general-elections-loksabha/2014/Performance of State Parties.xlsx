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75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/>
  <c r="C8"/>
  <c r="C10"/>
  <c r="C12"/>
  <c r="C14"/>
  <c r="C18"/>
  <c r="C20"/>
  <c r="C22"/>
  <c r="C24"/>
  <c r="C26"/>
  <c r="C28"/>
  <c r="C31"/>
  <c r="C33"/>
  <c r="C35"/>
  <c r="C37"/>
  <c r="C40"/>
  <c r="C42"/>
  <c r="C44"/>
  <c r="C46"/>
  <c r="C48"/>
  <c r="C50"/>
  <c r="C52"/>
  <c r="C54"/>
  <c r="C56"/>
  <c r="C58"/>
  <c r="C60"/>
  <c r="C63"/>
  <c r="C65"/>
  <c r="C67"/>
  <c r="C70"/>
  <c r="C72"/>
  <c r="C74"/>
  <c r="C76"/>
  <c r="C78"/>
  <c r="C80"/>
  <c r="C82"/>
  <c r="C84"/>
  <c r="C86"/>
  <c r="C88"/>
  <c r="B5"/>
  <c r="B8"/>
  <c r="B10"/>
  <c r="B12"/>
  <c r="B14"/>
  <c r="B18"/>
  <c r="B20"/>
  <c r="B22"/>
  <c r="B24"/>
  <c r="B26"/>
  <c r="B28"/>
  <c r="B31"/>
  <c r="B33"/>
  <c r="B35"/>
  <c r="B37"/>
  <c r="B40"/>
  <c r="B42"/>
  <c r="B44"/>
  <c r="B46"/>
  <c r="B48"/>
  <c r="B50"/>
  <c r="B52"/>
  <c r="B54"/>
  <c r="B56"/>
  <c r="B58"/>
  <c r="B60"/>
  <c r="B63"/>
  <c r="B65"/>
  <c r="B67"/>
  <c r="B70"/>
  <c r="B72"/>
  <c r="B74"/>
  <c r="B76"/>
  <c r="B78"/>
  <c r="B80"/>
  <c r="B82"/>
  <c r="B84"/>
  <c r="B86"/>
  <c r="B88"/>
  <c r="H88" l="1"/>
  <c r="G88"/>
  <c r="F88"/>
  <c r="E88"/>
  <c r="H86"/>
  <c r="G86"/>
  <c r="F86"/>
  <c r="E86"/>
  <c r="H84"/>
  <c r="G84"/>
  <c r="F84"/>
  <c r="E84"/>
  <c r="H82"/>
  <c r="G82"/>
  <c r="F82"/>
  <c r="E82"/>
  <c r="H80"/>
  <c r="G80"/>
  <c r="F80"/>
  <c r="E80"/>
  <c r="H78"/>
  <c r="G78"/>
  <c r="F78"/>
  <c r="E78"/>
  <c r="H76"/>
  <c r="G76"/>
  <c r="F76"/>
  <c r="E76"/>
  <c r="H74"/>
  <c r="G74"/>
  <c r="F74"/>
  <c r="E74"/>
  <c r="H72"/>
  <c r="G72"/>
  <c r="F72"/>
  <c r="E72"/>
  <c r="H70"/>
  <c r="G70"/>
  <c r="F70"/>
  <c r="E70"/>
  <c r="H67"/>
  <c r="G67"/>
  <c r="F67"/>
  <c r="E67"/>
  <c r="H65"/>
  <c r="G65"/>
  <c r="F65"/>
  <c r="E65"/>
  <c r="H63"/>
  <c r="G63"/>
  <c r="F63"/>
  <c r="E63"/>
  <c r="H60"/>
  <c r="G60"/>
  <c r="F60"/>
  <c r="E60"/>
  <c r="H58"/>
  <c r="G58"/>
  <c r="F58"/>
  <c r="E58"/>
  <c r="H56"/>
  <c r="G56"/>
  <c r="F56"/>
  <c r="E56"/>
  <c r="H54"/>
  <c r="G54"/>
  <c r="F54"/>
  <c r="E54"/>
  <c r="H52"/>
  <c r="G52"/>
  <c r="F52"/>
  <c r="E52"/>
  <c r="H50"/>
  <c r="G50"/>
  <c r="F50"/>
  <c r="E50"/>
  <c r="H48"/>
  <c r="G48"/>
  <c r="F48"/>
  <c r="E48"/>
  <c r="H46"/>
  <c r="G46"/>
  <c r="F46"/>
  <c r="E46"/>
  <c r="H44"/>
  <c r="G44"/>
  <c r="F44"/>
  <c r="E44"/>
  <c r="H42"/>
  <c r="G42"/>
  <c r="F42"/>
  <c r="E42"/>
  <c r="H40"/>
  <c r="G40"/>
  <c r="F40"/>
  <c r="E40"/>
  <c r="H37"/>
  <c r="G37"/>
  <c r="F37"/>
  <c r="E37"/>
  <c r="H35"/>
  <c r="G35"/>
  <c r="F35"/>
  <c r="E35"/>
  <c r="H33"/>
  <c r="G33"/>
  <c r="F33"/>
  <c r="E33"/>
  <c r="H31"/>
  <c r="G31"/>
  <c r="F31"/>
  <c r="E31"/>
  <c r="H28"/>
  <c r="G28"/>
  <c r="F28"/>
  <c r="E28"/>
  <c r="H26"/>
  <c r="G26"/>
  <c r="F26"/>
  <c r="E26"/>
  <c r="H24"/>
  <c r="G24"/>
  <c r="F24"/>
  <c r="E24"/>
  <c r="H22"/>
  <c r="G22"/>
  <c r="F22"/>
  <c r="E22"/>
  <c r="H20"/>
  <c r="G20"/>
  <c r="F20"/>
  <c r="E20"/>
  <c r="H18"/>
  <c r="G18"/>
  <c r="F18"/>
  <c r="E18"/>
  <c r="H14"/>
  <c r="G14"/>
  <c r="F14"/>
  <c r="E14"/>
  <c r="H12"/>
  <c r="G12"/>
  <c r="F12"/>
  <c r="E12"/>
  <c r="H10"/>
  <c r="G10"/>
  <c r="F10"/>
  <c r="E10"/>
  <c r="H8"/>
  <c r="G8"/>
  <c r="F8"/>
  <c r="E8"/>
  <c r="H5"/>
  <c r="G5"/>
  <c r="F5"/>
  <c r="E5"/>
</calcChain>
</file>

<file path=xl/sharedStrings.xml><?xml version="1.0" encoding="utf-8"?>
<sst xmlns="http://schemas.openxmlformats.org/spreadsheetml/2006/main" count="190" uniqueCount="118">
  <si>
    <t>Performance Of State Party PC</t>
  </si>
  <si>
    <t>Party Abbre</t>
  </si>
  <si>
    <t>Party Name</t>
  </si>
  <si>
    <t>State NAME</t>
  </si>
  <si>
    <t>Candidates</t>
  </si>
  <si>
    <t>Votes Secured by Party</t>
  </si>
  <si>
    <t xml:space="preserve"> % of Votes Secured</t>
  </si>
  <si>
    <t>Contested</t>
  </si>
  <si>
    <t>Won</t>
  </si>
  <si>
    <t>Df</t>
  </si>
  <si>
    <t>Over Total Electors in The States</t>
  </si>
  <si>
    <t>Over Total Valid Votes Polled In The Sate</t>
  </si>
  <si>
    <t>AAAP</t>
  </si>
  <si>
    <t>Aam Aadmi Party</t>
  </si>
  <si>
    <t>NCT OF Delhi</t>
  </si>
  <si>
    <t>Party Total</t>
  </si>
  <si>
    <t xml:space="preserve">ADMK      </t>
  </si>
  <si>
    <t>All India Anna Dravida Munnetra Kazhagam</t>
  </si>
  <si>
    <t>Tamil Nadu</t>
  </si>
  <si>
    <t>ADMK</t>
  </si>
  <si>
    <t>Puducherry</t>
  </si>
  <si>
    <t>AGP</t>
  </si>
  <si>
    <t>Asom Gana Parishad</t>
  </si>
  <si>
    <t>Assam</t>
  </si>
  <si>
    <t>AIFB</t>
  </si>
  <si>
    <t>All India Forward Bloc</t>
  </si>
  <si>
    <t>West Bengal</t>
  </si>
  <si>
    <t xml:space="preserve">AINRC     </t>
  </si>
  <si>
    <t>All India N.R. Congress</t>
  </si>
  <si>
    <t>AITC</t>
  </si>
  <si>
    <t>All India Trinamool Congress</t>
  </si>
  <si>
    <t>Arunachal Pradesh</t>
  </si>
  <si>
    <t>Manipur</t>
  </si>
  <si>
    <t xml:space="preserve">AITC      </t>
  </si>
  <si>
    <t xml:space="preserve">AIUDF     </t>
  </si>
  <si>
    <t>All India United Democratic Front</t>
  </si>
  <si>
    <t>AJSUP</t>
  </si>
  <si>
    <t>AJSU Party</t>
  </si>
  <si>
    <t>Jharkhand</t>
  </si>
  <si>
    <t xml:space="preserve">BJD       </t>
  </si>
  <si>
    <t>Biju Janata Dal</t>
  </si>
  <si>
    <t>Orissa</t>
  </si>
  <si>
    <t>BOPF</t>
  </si>
  <si>
    <t>Bodoland Peoples Front</t>
  </si>
  <si>
    <t>DMDK</t>
  </si>
  <si>
    <t>Desiya Murpokku Dravida Kazhagam</t>
  </si>
  <si>
    <t>DMK</t>
  </si>
  <si>
    <t>Dravida Munnetra Kazhagam</t>
  </si>
  <si>
    <t>HJCBL</t>
  </si>
  <si>
    <t>Haryana Janhit Congress (BL)</t>
  </si>
  <si>
    <t>Haryana</t>
  </si>
  <si>
    <t xml:space="preserve">INLD      </t>
  </si>
  <si>
    <t>Indian National Lok Dal</t>
  </si>
  <si>
    <t xml:space="preserve">IUML      </t>
  </si>
  <si>
    <t>Indian Union Muslim League</t>
  </si>
  <si>
    <t>Kerala</t>
  </si>
  <si>
    <t xml:space="preserve">JD(S)     </t>
  </si>
  <si>
    <t>Janata Dal  (Secular)</t>
  </si>
  <si>
    <t>Karnataka</t>
  </si>
  <si>
    <t>JD(S)</t>
  </si>
  <si>
    <t xml:space="preserve">JD(U)     </t>
  </si>
  <si>
    <t>Janata Dal  (United)</t>
  </si>
  <si>
    <t>Bihar</t>
  </si>
  <si>
    <t>JKN</t>
  </si>
  <si>
    <t>Jammu &amp; Kashmir National Conference</t>
  </si>
  <si>
    <t>Jammu &amp; Kashmir</t>
  </si>
  <si>
    <t>JKNPP</t>
  </si>
  <si>
    <t>Jammu &amp; Kashmir National Panthers Party</t>
  </si>
  <si>
    <t xml:space="preserve">JKPDP     </t>
  </si>
  <si>
    <t>Jammu &amp; Kashmir Peoples Democratic Party</t>
  </si>
  <si>
    <t xml:space="preserve">JMM       </t>
  </si>
  <si>
    <t>Jharkhand Mukti Morcha</t>
  </si>
  <si>
    <t>JVM</t>
  </si>
  <si>
    <t>Jharkhand Vikas Morcha (Prajatantrik)</t>
  </si>
  <si>
    <t xml:space="preserve">KEC(M)    </t>
  </si>
  <si>
    <t>Kerala Congress  (M)</t>
  </si>
  <si>
    <t xml:space="preserve">LJP       </t>
  </si>
  <si>
    <t>Lok Jan Shakti Party</t>
  </si>
  <si>
    <t>MNS</t>
  </si>
  <si>
    <t>Maharashtra Navnirman sena</t>
  </si>
  <si>
    <t>Maharashtra</t>
  </si>
  <si>
    <t xml:space="preserve">NPEP      </t>
  </si>
  <si>
    <t>National Peoples Party</t>
  </si>
  <si>
    <t>Meghalaya</t>
  </si>
  <si>
    <t>NPF</t>
  </si>
  <si>
    <t>Naga Peoples Front</t>
  </si>
  <si>
    <t xml:space="preserve">NPF       </t>
  </si>
  <si>
    <t>Nagaland</t>
  </si>
  <si>
    <t>PMK</t>
  </si>
  <si>
    <t>Pattali Makkal Katchi</t>
  </si>
  <si>
    <t>PPA</t>
  </si>
  <si>
    <t>People's Party of Arunachal</t>
  </si>
  <si>
    <t xml:space="preserve">RJD       </t>
  </si>
  <si>
    <t>Rashtriya Janata Dal</t>
  </si>
  <si>
    <t>RJD</t>
  </si>
  <si>
    <t>RLD</t>
  </si>
  <si>
    <t>Rashtriya Lok Dal</t>
  </si>
  <si>
    <t>Uttar Pradesh</t>
  </si>
  <si>
    <t>RSP</t>
  </si>
  <si>
    <t>Revolutionary Socialist Party</t>
  </si>
  <si>
    <t xml:space="preserve">SAD       </t>
  </si>
  <si>
    <t>Shiromani Akali Dal</t>
  </si>
  <si>
    <t>Punjab</t>
  </si>
  <si>
    <t xml:space="preserve">SDF       </t>
  </si>
  <si>
    <t>Sikkim Democratic Front</t>
  </si>
  <si>
    <t>Sikkim</t>
  </si>
  <si>
    <t xml:space="preserve">SHS       </t>
  </si>
  <si>
    <t>Shivsena</t>
  </si>
  <si>
    <t xml:space="preserve">SP        </t>
  </si>
  <si>
    <t>Samajwadi Party</t>
  </si>
  <si>
    <t xml:space="preserve">TDP       </t>
  </si>
  <si>
    <t>Telugu Desam</t>
  </si>
  <si>
    <t>Andhra Pradesh</t>
  </si>
  <si>
    <t xml:space="preserve">TRS       </t>
  </si>
  <si>
    <t>Telangana Rashtra Samithi</t>
  </si>
  <si>
    <t>UDP</t>
  </si>
  <si>
    <t>United Democratic Party</t>
  </si>
  <si>
    <t>Grand Total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</si>
</sst>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>
      <alignment horizontal="center"/>
    </xf>
    <xf numFmtId="0" fontId="0" fillId="0" borderId="2" xfId="0" applyNumberFormat="1" applyFill="1" applyBorder="1" applyAlignment="1" applyProtection="1">
      <alignment vertical="top" wrapText="1"/>
    </xf>
    <xf numFmtId="0" fontId="0" fillId="0" borderId="3" xfId="0" applyNumberFormat="1" applyFill="1" applyBorder="1" applyAlignment="1" applyProtection="1">
      <alignment vertical="top" wrapText="1"/>
    </xf>
    <xf numFmtId="0" fontId="0" fillId="0" borderId="2" xfId="0" applyNumberFormat="1" applyFill="1" applyBorder="1" applyAlignment="1" applyProtection="1">
      <alignment horizontal="center" vertical="top" wrapText="1"/>
    </xf>
    <xf numFmtId="0" fontId="0" fillId="0" borderId="3" xfId="0" applyNumberFormat="1" applyFill="1" applyBorder="1" applyAlignment="1" applyProtection="1">
      <alignment horizontal="center" vertical="top" wrapText="1"/>
    </xf>
    <xf numFmtId="0" fontId="0" fillId="0" borderId="1" xfId="0" applyNumberFormat="1" applyFill="1" applyBorder="1" applyAlignment="1" applyProtection="1">
      <alignment vertical="top" wrapText="1"/>
    </xf>
    <xf numFmtId="0" fontId="0" fillId="0" borderId="1" xfId="0" applyNumberFormat="1" applyFill="1" applyBorder="1" applyAlignment="1" applyProtection="1">
      <alignment horizontal="center" vertical="top" wrapText="1"/>
    </xf>
    <xf numFmtId="0" fontId="2" fillId="0" borderId="4" xfId="0" applyNumberFormat="1" applyFont="1" applyFill="1" applyBorder="1" applyAlignment="1" applyProtection="1">
      <alignment horizontal="center" vertical="top" wrapText="1"/>
    </xf>
    <xf numFmtId="0" fontId="2" fillId="0" borderId="5" xfId="0" applyNumberFormat="1" applyFont="1" applyFill="1" applyBorder="1" applyAlignment="1" applyProtection="1">
      <alignment horizontal="center" vertical="top" wrapText="1"/>
    </xf>
    <xf numFmtId="0" fontId="2" fillId="0" borderId="6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89"/>
  <sheetViews>
    <sheetView tabSelected="1" topLeftCell="A70" workbookViewId="0">
      <selection activeCell="D8" sqref="D8"/>
    </sheetView>
  </sheetViews>
  <sheetFormatPr defaultRowHeight="15"/>
  <cols>
    <col min="1" max="1" width="12.5703125" style="1" bestFit="1" customWidth="1"/>
    <col min="2" max="2" width="11.42578125" style="1" bestFit="1" customWidth="1"/>
    <col min="3" max="3" width="40.7109375" style="1" bestFit="1" customWidth="1"/>
    <col min="4" max="4" width="12.5703125" style="1" bestFit="1" customWidth="1"/>
    <col min="5" max="5" width="10.140625" style="1" bestFit="1" customWidth="1"/>
    <col min="6" max="7" width="9.140625" style="1"/>
    <col min="8" max="8" width="14.140625" style="1" customWidth="1"/>
    <col min="9" max="9" width="22.42578125" style="1" customWidth="1"/>
    <col min="10" max="10" width="16.7109375" style="1" customWidth="1"/>
    <col min="11" max="16384" width="9.140625" style="1"/>
  </cols>
  <sheetData>
    <row r="1" spans="2:11" ht="21">
      <c r="B1" s="5" t="s">
        <v>0</v>
      </c>
      <c r="C1" s="5"/>
      <c r="D1" s="5"/>
      <c r="E1" s="5"/>
      <c r="F1" s="5"/>
      <c r="G1" s="5"/>
      <c r="H1" s="5"/>
      <c r="I1" s="5"/>
      <c r="J1" s="5"/>
      <c r="K1" s="4"/>
    </row>
    <row r="2" spans="2:11" ht="31.5" customHeight="1">
      <c r="B2" s="6" t="s">
        <v>1</v>
      </c>
      <c r="C2" s="6" t="s">
        <v>2</v>
      </c>
      <c r="D2" s="8" t="s">
        <v>3</v>
      </c>
      <c r="E2" s="12" t="s">
        <v>4</v>
      </c>
      <c r="F2" s="13"/>
      <c r="G2" s="14"/>
      <c r="H2" s="8" t="s">
        <v>5</v>
      </c>
      <c r="I2" s="11" t="s">
        <v>6</v>
      </c>
      <c r="J2" s="11"/>
    </row>
    <row r="3" spans="2:11" ht="44.25" customHeight="1">
      <c r="B3" s="7"/>
      <c r="C3" s="7"/>
      <c r="D3" s="9"/>
      <c r="E3" s="10" t="s">
        <v>7</v>
      </c>
      <c r="F3" s="10" t="s">
        <v>8</v>
      </c>
      <c r="G3" s="10" t="s">
        <v>9</v>
      </c>
      <c r="H3" s="9"/>
      <c r="I3" s="10" t="s">
        <v>10</v>
      </c>
      <c r="J3" s="10" t="s">
        <v>11</v>
      </c>
    </row>
    <row r="4" spans="2:11">
      <c r="B4" s="1" t="s">
        <v>12</v>
      </c>
      <c r="C4" s="1" t="s">
        <v>13</v>
      </c>
      <c r="D4" s="1" t="s">
        <v>14</v>
      </c>
      <c r="E4" s="1">
        <v>7</v>
      </c>
      <c r="F4" s="1">
        <v>0</v>
      </c>
      <c r="G4" s="1">
        <v>0</v>
      </c>
      <c r="H4" s="1">
        <v>2722887</v>
      </c>
      <c r="I4" s="1">
        <v>21.4212246809183</v>
      </c>
      <c r="J4" s="1">
        <v>33.076553229100398</v>
      </c>
    </row>
    <row r="5" spans="2:11">
      <c r="B5" s="1" t="str">
        <f>B4</f>
        <v>AAAP</v>
      </c>
      <c r="C5" s="1" t="str">
        <f>C4</f>
        <v>Aam Aadmi Party</v>
      </c>
      <c r="D5" s="2" t="s">
        <v>15</v>
      </c>
      <c r="E5" s="1">
        <f>SUM(E4:E4)</f>
        <v>7</v>
      </c>
      <c r="F5" s="1">
        <f>SUM(F4:F4)</f>
        <v>0</v>
      </c>
      <c r="G5" s="1">
        <f>SUM(G4:G4)</f>
        <v>0</v>
      </c>
      <c r="H5" s="1">
        <f>SUM(H4:H4)</f>
        <v>2722887</v>
      </c>
      <c r="I5" s="1">
        <v>21.4212246809183</v>
      </c>
      <c r="J5" s="1">
        <v>33.076553229100398</v>
      </c>
    </row>
    <row r="6" spans="2:11">
      <c r="B6" s="1" t="s">
        <v>16</v>
      </c>
      <c r="C6" s="1" t="s">
        <v>17</v>
      </c>
      <c r="D6" s="1" t="s">
        <v>18</v>
      </c>
      <c r="E6" s="1">
        <v>39</v>
      </c>
      <c r="F6" s="1">
        <v>37</v>
      </c>
      <c r="G6" s="1">
        <v>0</v>
      </c>
      <c r="H6" s="1">
        <v>17978922</v>
      </c>
      <c r="I6" s="1">
        <v>32.6208208032145</v>
      </c>
      <c r="J6" s="1">
        <v>44.918818608209101</v>
      </c>
    </row>
    <row r="7" spans="2:11">
      <c r="B7" s="1" t="s">
        <v>19</v>
      </c>
      <c r="C7" s="1" t="s">
        <v>17</v>
      </c>
      <c r="D7" s="1" t="s">
        <v>20</v>
      </c>
      <c r="E7" s="1">
        <v>1</v>
      </c>
      <c r="F7" s="1">
        <v>0</v>
      </c>
      <c r="G7" s="1">
        <v>0</v>
      </c>
      <c r="H7" s="1">
        <v>132657</v>
      </c>
      <c r="I7" s="1">
        <v>14.7174759834339</v>
      </c>
      <c r="J7" s="1">
        <v>18.4823663982813</v>
      </c>
    </row>
    <row r="8" spans="2:11">
      <c r="B8" s="1" t="str">
        <f>B7</f>
        <v>ADMK</v>
      </c>
      <c r="C8" s="1" t="str">
        <f>C7</f>
        <v>All India Anna Dravida Munnetra Kazhagam</v>
      </c>
      <c r="D8" s="2" t="s">
        <v>15</v>
      </c>
      <c r="E8" s="1">
        <f>SUM(E6:E7)</f>
        <v>40</v>
      </c>
      <c r="F8" s="1">
        <f>SUM(F6:F7)</f>
        <v>37</v>
      </c>
      <c r="G8" s="1">
        <f>SUM(G6:G7)</f>
        <v>0</v>
      </c>
      <c r="H8" s="1">
        <f>SUM(H6:H7)</f>
        <v>18111579</v>
      </c>
      <c r="I8" s="1">
        <v>32.332738101018698</v>
      </c>
      <c r="J8" s="1">
        <v>44.453102212408098</v>
      </c>
    </row>
    <row r="9" spans="2:11">
      <c r="B9" s="1" t="s">
        <v>21</v>
      </c>
      <c r="C9" s="1" t="s">
        <v>22</v>
      </c>
      <c r="D9" s="1" t="s">
        <v>23</v>
      </c>
      <c r="E9" s="1">
        <v>12</v>
      </c>
      <c r="F9" s="1">
        <v>0</v>
      </c>
      <c r="G9" s="1">
        <v>12</v>
      </c>
      <c r="H9" s="1">
        <v>577730</v>
      </c>
      <c r="I9" s="1">
        <v>3.0668797215458201</v>
      </c>
      <c r="J9" s="1">
        <v>3.8673052353645501</v>
      </c>
    </row>
    <row r="10" spans="2:11">
      <c r="B10" s="1" t="str">
        <f>B9</f>
        <v>AGP</v>
      </c>
      <c r="C10" s="1" t="str">
        <f>C9</f>
        <v>Asom Gana Parishad</v>
      </c>
      <c r="D10" s="2" t="s">
        <v>15</v>
      </c>
      <c r="E10" s="1">
        <f>SUM(E9:E9)</f>
        <v>12</v>
      </c>
      <c r="F10" s="1">
        <f>SUM(F9:F9)</f>
        <v>0</v>
      </c>
      <c r="G10" s="1">
        <f>SUM(G9:G9)</f>
        <v>12</v>
      </c>
      <c r="H10" s="1">
        <f>SUM(H9:H9)</f>
        <v>577730</v>
      </c>
      <c r="I10" s="1">
        <v>3.0668797215458201</v>
      </c>
      <c r="J10" s="1">
        <v>3.8673052353645501</v>
      </c>
    </row>
    <row r="11" spans="2:11">
      <c r="B11" s="1" t="s">
        <v>24</v>
      </c>
      <c r="C11" s="1" t="s">
        <v>25</v>
      </c>
      <c r="D11" s="1" t="s">
        <v>26</v>
      </c>
      <c r="E11" s="1">
        <v>3</v>
      </c>
      <c r="F11" s="1">
        <v>0</v>
      </c>
      <c r="G11" s="1">
        <v>0</v>
      </c>
      <c r="H11" s="1">
        <v>1106038</v>
      </c>
      <c r="I11" s="1">
        <v>1.76027885169401</v>
      </c>
      <c r="J11" s="1">
        <v>2.1661308908363601</v>
      </c>
    </row>
    <row r="12" spans="2:11">
      <c r="B12" s="1" t="str">
        <f>B11</f>
        <v>AIFB</v>
      </c>
      <c r="C12" s="1" t="str">
        <f>C11</f>
        <v>All India Forward Bloc</v>
      </c>
      <c r="D12" s="2" t="s">
        <v>15</v>
      </c>
      <c r="E12" s="1">
        <f>SUM(E11:E11)</f>
        <v>3</v>
      </c>
      <c r="F12" s="1">
        <f>SUM(F11:F11)</f>
        <v>0</v>
      </c>
      <c r="G12" s="1">
        <f>SUM(G11:G11)</f>
        <v>0</v>
      </c>
      <c r="H12" s="1">
        <f>SUM(H11:H11)</f>
        <v>1106038</v>
      </c>
      <c r="I12" s="1">
        <v>1.76027885169401</v>
      </c>
      <c r="J12" s="1">
        <v>2.1661308908363601</v>
      </c>
    </row>
    <row r="13" spans="2:11">
      <c r="B13" s="1" t="s">
        <v>27</v>
      </c>
      <c r="C13" s="1" t="s">
        <v>28</v>
      </c>
      <c r="D13" s="1" t="s">
        <v>20</v>
      </c>
      <c r="E13" s="1">
        <v>1</v>
      </c>
      <c r="F13" s="1">
        <v>1</v>
      </c>
      <c r="G13" s="1">
        <v>0</v>
      </c>
      <c r="H13" s="1">
        <v>255826</v>
      </c>
      <c r="I13" s="1">
        <v>28.3823168844309</v>
      </c>
      <c r="J13" s="1">
        <v>35.642822212221802</v>
      </c>
    </row>
    <row r="14" spans="2:11">
      <c r="B14" s="1" t="str">
        <f>B13</f>
        <v xml:space="preserve">AINRC     </v>
      </c>
      <c r="C14" s="1" t="str">
        <f>C13</f>
        <v>All India N.R. Congress</v>
      </c>
      <c r="D14" s="2" t="s">
        <v>15</v>
      </c>
      <c r="E14" s="1">
        <f>SUM(E13:E13)</f>
        <v>1</v>
      </c>
      <c r="F14" s="1">
        <f>SUM(F13:F13)</f>
        <v>1</v>
      </c>
      <c r="G14" s="1">
        <f>SUM(G13:G13)</f>
        <v>0</v>
      </c>
      <c r="H14" s="1">
        <f>SUM(H13:H13)</f>
        <v>255826</v>
      </c>
      <c r="I14" s="1">
        <v>28.3823168844309</v>
      </c>
      <c r="J14" s="1">
        <v>35.642822212221802</v>
      </c>
    </row>
    <row r="15" spans="2:11">
      <c r="B15" s="1" t="s">
        <v>29</v>
      </c>
      <c r="C15" s="1" t="s">
        <v>30</v>
      </c>
      <c r="D15" s="1" t="s">
        <v>31</v>
      </c>
      <c r="E15" s="1">
        <v>1</v>
      </c>
      <c r="F15" s="1">
        <v>0</v>
      </c>
      <c r="G15" s="1">
        <v>1</v>
      </c>
      <c r="H15" s="1">
        <v>9135</v>
      </c>
      <c r="I15" s="1">
        <v>1.2030120735793</v>
      </c>
      <c r="J15" s="1">
        <v>1.5466404801611799</v>
      </c>
    </row>
    <row r="16" spans="2:11">
      <c r="B16" s="1" t="s">
        <v>29</v>
      </c>
      <c r="C16" s="1" t="s">
        <v>30</v>
      </c>
      <c r="D16" s="1" t="s">
        <v>32</v>
      </c>
      <c r="E16" s="1">
        <v>2</v>
      </c>
      <c r="F16" s="1">
        <v>0</v>
      </c>
      <c r="G16" s="1">
        <v>2</v>
      </c>
      <c r="H16" s="1">
        <v>52655</v>
      </c>
      <c r="I16" s="1">
        <v>2.9675338106109801</v>
      </c>
      <c r="J16" s="1">
        <v>3.7473347699717898</v>
      </c>
    </row>
    <row r="17" spans="2:10">
      <c r="B17" s="1" t="s">
        <v>33</v>
      </c>
      <c r="C17" s="1" t="s">
        <v>30</v>
      </c>
      <c r="D17" s="1" t="s">
        <v>26</v>
      </c>
      <c r="E17" s="1">
        <v>42</v>
      </c>
      <c r="F17" s="1">
        <v>34</v>
      </c>
      <c r="G17" s="1">
        <v>0</v>
      </c>
      <c r="H17" s="1">
        <v>20316262</v>
      </c>
      <c r="I17" s="1">
        <v>32.333686857119403</v>
      </c>
      <c r="J17" s="1">
        <v>39.7885811378314</v>
      </c>
    </row>
    <row r="18" spans="2:10">
      <c r="B18" s="1" t="str">
        <f>B17</f>
        <v xml:space="preserve">AITC      </v>
      </c>
      <c r="C18" s="1" t="str">
        <f>C17</f>
        <v>All India Trinamool Congress</v>
      </c>
      <c r="D18" s="2" t="s">
        <v>15</v>
      </c>
      <c r="E18" s="1">
        <f>SUM(E15:E17)</f>
        <v>45</v>
      </c>
      <c r="F18" s="1">
        <f>SUM(F15:F17)</f>
        <v>34</v>
      </c>
      <c r="G18" s="1">
        <f>SUM(G15:G17)</f>
        <v>3</v>
      </c>
      <c r="H18" s="1">
        <f>SUM(H15:H17)</f>
        <v>20378052</v>
      </c>
      <c r="I18" s="1">
        <v>31.174914321218498</v>
      </c>
      <c r="J18" s="1">
        <v>38.408354174558802</v>
      </c>
    </row>
    <row r="19" spans="2:10">
      <c r="B19" s="1" t="s">
        <v>34</v>
      </c>
      <c r="C19" s="1" t="s">
        <v>35</v>
      </c>
      <c r="D19" s="1" t="s">
        <v>23</v>
      </c>
      <c r="E19" s="1">
        <v>10</v>
      </c>
      <c r="F19" s="1">
        <v>3</v>
      </c>
      <c r="G19" s="1">
        <v>5</v>
      </c>
      <c r="H19" s="1">
        <v>2237612</v>
      </c>
      <c r="I19" s="1">
        <v>11.8783633660838</v>
      </c>
      <c r="J19" s="1">
        <v>14.9784996491692</v>
      </c>
    </row>
    <row r="20" spans="2:10">
      <c r="B20" s="1" t="str">
        <f>B19</f>
        <v xml:space="preserve">AIUDF     </v>
      </c>
      <c r="C20" s="1" t="str">
        <f>C19</f>
        <v>All India United Democratic Front</v>
      </c>
      <c r="D20" s="2" t="s">
        <v>15</v>
      </c>
      <c r="E20" s="1">
        <f>SUM(E19:E19)</f>
        <v>10</v>
      </c>
      <c r="F20" s="1">
        <f>SUM(F19:F19)</f>
        <v>3</v>
      </c>
      <c r="G20" s="1">
        <f>SUM(G19:G19)</f>
        <v>5</v>
      </c>
      <c r="H20" s="1">
        <f>SUM(H19:H19)</f>
        <v>2237612</v>
      </c>
      <c r="I20" s="1">
        <v>11.8783633660838</v>
      </c>
      <c r="J20" s="1">
        <v>14.9784996491692</v>
      </c>
    </row>
    <row r="21" spans="2:10">
      <c r="B21" s="1" t="s">
        <v>36</v>
      </c>
      <c r="C21" s="1" t="s">
        <v>37</v>
      </c>
      <c r="D21" s="1" t="s">
        <v>38</v>
      </c>
      <c r="E21" s="1">
        <v>9</v>
      </c>
      <c r="F21" s="1">
        <v>0</v>
      </c>
      <c r="G21" s="1">
        <v>9</v>
      </c>
      <c r="H21" s="1">
        <v>481667</v>
      </c>
      <c r="I21" s="1">
        <v>2.3669377324470502</v>
      </c>
      <c r="J21" s="1">
        <v>3.7653729714002</v>
      </c>
    </row>
    <row r="22" spans="2:10">
      <c r="B22" s="1" t="str">
        <f>B21</f>
        <v>AJSUP</v>
      </c>
      <c r="C22" s="1" t="str">
        <f>C21</f>
        <v>AJSU Party</v>
      </c>
      <c r="D22" s="2" t="s">
        <v>15</v>
      </c>
      <c r="E22" s="1">
        <f>SUM(E21:E21)</f>
        <v>9</v>
      </c>
      <c r="F22" s="1">
        <f>SUM(F21:F21)</f>
        <v>0</v>
      </c>
      <c r="G22" s="1">
        <f>SUM(G21:G21)</f>
        <v>9</v>
      </c>
      <c r="H22" s="1">
        <f>SUM(H21:H21)</f>
        <v>481667</v>
      </c>
      <c r="I22" s="1">
        <v>2.3669377324470502</v>
      </c>
      <c r="J22" s="1">
        <v>3.7653729714002</v>
      </c>
    </row>
    <row r="23" spans="2:10">
      <c r="B23" s="1" t="s">
        <v>39</v>
      </c>
      <c r="C23" s="1" t="s">
        <v>40</v>
      </c>
      <c r="D23" s="1" t="s">
        <v>41</v>
      </c>
      <c r="E23" s="1">
        <v>21</v>
      </c>
      <c r="F23" s="1">
        <v>20</v>
      </c>
      <c r="G23" s="1">
        <v>0</v>
      </c>
      <c r="H23" s="1">
        <v>9489946</v>
      </c>
      <c r="I23" s="1">
        <v>32.504217608926098</v>
      </c>
      <c r="J23" s="1">
        <v>44.772096700541901</v>
      </c>
    </row>
    <row r="24" spans="2:10">
      <c r="B24" s="1" t="str">
        <f>B23</f>
        <v xml:space="preserve">BJD       </v>
      </c>
      <c r="C24" s="1" t="str">
        <f>C23</f>
        <v>Biju Janata Dal</v>
      </c>
      <c r="D24" s="2" t="s">
        <v>15</v>
      </c>
      <c r="E24" s="1">
        <f>SUM(E23:E23)</f>
        <v>21</v>
      </c>
      <c r="F24" s="1">
        <f>SUM(F23:F23)</f>
        <v>20</v>
      </c>
      <c r="G24" s="1">
        <f>SUM(G23:G23)</f>
        <v>0</v>
      </c>
      <c r="H24" s="1">
        <f>SUM(H23:H23)</f>
        <v>9489946</v>
      </c>
      <c r="I24" s="1">
        <v>32.504217608926098</v>
      </c>
      <c r="J24" s="1">
        <v>44.772096700541901</v>
      </c>
    </row>
    <row r="25" spans="2:10">
      <c r="B25" s="1" t="s">
        <v>42</v>
      </c>
      <c r="C25" s="1" t="s">
        <v>43</v>
      </c>
      <c r="D25" s="1" t="s">
        <v>23</v>
      </c>
      <c r="E25" s="1">
        <v>2</v>
      </c>
      <c r="F25" s="1">
        <v>0</v>
      </c>
      <c r="G25" s="1">
        <v>1</v>
      </c>
      <c r="H25" s="1">
        <v>330106</v>
      </c>
      <c r="I25" s="1">
        <v>1.7523677104540201</v>
      </c>
      <c r="J25" s="1">
        <v>2.2097184879186602</v>
      </c>
    </row>
    <row r="26" spans="2:10">
      <c r="B26" s="1" t="str">
        <f>B25</f>
        <v>BOPF</v>
      </c>
      <c r="C26" s="1" t="str">
        <f>C25</f>
        <v>Bodoland Peoples Front</v>
      </c>
      <c r="D26" s="2" t="s">
        <v>15</v>
      </c>
      <c r="E26" s="1">
        <f>SUM(E25:E25)</f>
        <v>2</v>
      </c>
      <c r="F26" s="1">
        <f>SUM(F25:F25)</f>
        <v>0</v>
      </c>
      <c r="G26" s="1">
        <f>SUM(G25:G25)</f>
        <v>1</v>
      </c>
      <c r="H26" s="1">
        <f>SUM(H25:H25)</f>
        <v>330106</v>
      </c>
      <c r="I26" s="1">
        <v>1.7523677104540201</v>
      </c>
      <c r="J26" s="1">
        <v>2.2097184879186602</v>
      </c>
    </row>
    <row r="27" spans="2:10">
      <c r="B27" s="1" t="s">
        <v>44</v>
      </c>
      <c r="C27" s="1" t="s">
        <v>45</v>
      </c>
      <c r="D27" s="1" t="s">
        <v>18</v>
      </c>
      <c r="E27" s="1">
        <v>14</v>
      </c>
      <c r="F27" s="1">
        <v>0</v>
      </c>
      <c r="G27" s="1">
        <v>11</v>
      </c>
      <c r="H27" s="1">
        <v>2078843</v>
      </c>
      <c r="I27" s="1">
        <v>3.7718370979648701</v>
      </c>
      <c r="J27" s="1">
        <v>5.1938137131884403</v>
      </c>
    </row>
    <row r="28" spans="2:10">
      <c r="B28" s="1" t="str">
        <f>B27</f>
        <v>DMDK</v>
      </c>
      <c r="C28" s="1" t="str">
        <f>C27</f>
        <v>Desiya Murpokku Dravida Kazhagam</v>
      </c>
      <c r="D28" s="2" t="s">
        <v>15</v>
      </c>
      <c r="E28" s="1">
        <f>SUM(E27:E27)</f>
        <v>14</v>
      </c>
      <c r="F28" s="1">
        <f>SUM(F27:F27)</f>
        <v>0</v>
      </c>
      <c r="G28" s="1">
        <f>SUM(G27:G27)</f>
        <v>11</v>
      </c>
      <c r="H28" s="1">
        <f>SUM(H27:H27)</f>
        <v>2078843</v>
      </c>
      <c r="I28" s="1">
        <v>3.7718370979648701</v>
      </c>
      <c r="J28" s="1">
        <v>5.1938137131884403</v>
      </c>
    </row>
    <row r="29" spans="2:10">
      <c r="B29" s="1" t="s">
        <v>46</v>
      </c>
      <c r="C29" s="1" t="s">
        <v>47</v>
      </c>
      <c r="D29" s="1" t="s">
        <v>18</v>
      </c>
      <c r="E29" s="1">
        <v>34</v>
      </c>
      <c r="F29" s="1">
        <v>0</v>
      </c>
      <c r="G29" s="1">
        <v>2</v>
      </c>
      <c r="H29" s="1">
        <v>9570666</v>
      </c>
      <c r="I29" s="1">
        <v>17.3649443806151</v>
      </c>
      <c r="J29" s="1">
        <v>23.911500923901599</v>
      </c>
    </row>
    <row r="30" spans="2:10">
      <c r="B30" s="1" t="s">
        <v>46</v>
      </c>
      <c r="C30" s="1" t="s">
        <v>47</v>
      </c>
      <c r="D30" s="1" t="s">
        <v>20</v>
      </c>
      <c r="E30" s="1">
        <v>1</v>
      </c>
      <c r="F30" s="1">
        <v>0</v>
      </c>
      <c r="G30" s="1">
        <v>1</v>
      </c>
      <c r="H30" s="1">
        <v>60580</v>
      </c>
      <c r="I30" s="1">
        <v>6.7209773707864899</v>
      </c>
      <c r="J30" s="1">
        <v>8.4402764754809798</v>
      </c>
    </row>
    <row r="31" spans="2:10">
      <c r="B31" s="1" t="str">
        <f>B30</f>
        <v>DMK</v>
      </c>
      <c r="C31" s="1" t="str">
        <f>C30</f>
        <v>Dravida Munnetra Kazhagam</v>
      </c>
      <c r="D31" s="2" t="s">
        <v>15</v>
      </c>
      <c r="E31" s="1">
        <f>SUM(E29:E30)</f>
        <v>35</v>
      </c>
      <c r="F31" s="1">
        <f>SUM(F29:F30)</f>
        <v>0</v>
      </c>
      <c r="G31" s="1">
        <f>SUM(G29:G30)</f>
        <v>3</v>
      </c>
      <c r="H31" s="1">
        <f>SUM(H29:H30)</f>
        <v>9631246</v>
      </c>
      <c r="I31" s="1">
        <v>17.193672318933899</v>
      </c>
      <c r="J31" s="1">
        <v>23.638952896975301</v>
      </c>
    </row>
    <row r="32" spans="2:10">
      <c r="B32" s="1" t="s">
        <v>48</v>
      </c>
      <c r="C32" s="1" t="s">
        <v>49</v>
      </c>
      <c r="D32" s="1" t="s">
        <v>50</v>
      </c>
      <c r="E32" s="1">
        <v>2</v>
      </c>
      <c r="F32" s="1">
        <v>0</v>
      </c>
      <c r="G32" s="1">
        <v>0</v>
      </c>
      <c r="H32" s="1">
        <v>703698</v>
      </c>
      <c r="I32" s="1">
        <v>4.3715463396721699</v>
      </c>
      <c r="J32" s="1">
        <v>6.1399723984028904</v>
      </c>
    </row>
    <row r="33" spans="2:10">
      <c r="B33" s="1" t="str">
        <f>B32</f>
        <v>HJCBL</v>
      </c>
      <c r="C33" s="1" t="str">
        <f>C32</f>
        <v>Haryana Janhit Congress (BL)</v>
      </c>
      <c r="D33" s="2" t="s">
        <v>15</v>
      </c>
      <c r="E33" s="1">
        <f>SUM(E32:E32)</f>
        <v>2</v>
      </c>
      <c r="F33" s="1">
        <f>SUM(F32:F32)</f>
        <v>0</v>
      </c>
      <c r="G33" s="1">
        <f>SUM(G32:G32)</f>
        <v>0</v>
      </c>
      <c r="H33" s="1">
        <f>SUM(H32:H32)</f>
        <v>703698</v>
      </c>
      <c r="I33" s="1">
        <v>4.3715463396721699</v>
      </c>
      <c r="J33" s="1">
        <v>6.1399723984028904</v>
      </c>
    </row>
    <row r="34" spans="2:10">
      <c r="B34" s="1" t="s">
        <v>51</v>
      </c>
      <c r="C34" s="1" t="s">
        <v>52</v>
      </c>
      <c r="D34" s="1" t="s">
        <v>50</v>
      </c>
      <c r="E34" s="1">
        <v>10</v>
      </c>
      <c r="F34" s="1">
        <v>2</v>
      </c>
      <c r="G34" s="1">
        <v>4</v>
      </c>
      <c r="H34" s="1">
        <v>2799899</v>
      </c>
      <c r="I34" s="1">
        <v>17.3936663524719</v>
      </c>
      <c r="J34" s="1">
        <v>24.4299437803089</v>
      </c>
    </row>
    <row r="35" spans="2:10">
      <c r="B35" s="1" t="str">
        <f>B34</f>
        <v xml:space="preserve">INLD      </v>
      </c>
      <c r="C35" s="1" t="str">
        <f>C34</f>
        <v>Indian National Lok Dal</v>
      </c>
      <c r="D35" s="2" t="s">
        <v>15</v>
      </c>
      <c r="E35" s="1">
        <f>SUM(E34:E34)</f>
        <v>10</v>
      </c>
      <c r="F35" s="1">
        <f>SUM(F34:F34)</f>
        <v>2</v>
      </c>
      <c r="G35" s="1">
        <f>SUM(G34:G34)</f>
        <v>4</v>
      </c>
      <c r="H35" s="1">
        <f>SUM(H34:H34)</f>
        <v>2799899</v>
      </c>
      <c r="I35" s="1">
        <v>17.3936663524719</v>
      </c>
      <c r="J35" s="1">
        <v>24.4299437803089</v>
      </c>
    </row>
    <row r="36" spans="2:10">
      <c r="B36" s="1" t="s">
        <v>53</v>
      </c>
      <c r="C36" s="1" t="s">
        <v>54</v>
      </c>
      <c r="D36" s="1" t="s">
        <v>55</v>
      </c>
      <c r="E36" s="1">
        <v>2</v>
      </c>
      <c r="F36" s="1">
        <v>2</v>
      </c>
      <c r="G36" s="1">
        <v>0</v>
      </c>
      <c r="H36" s="1">
        <v>816226</v>
      </c>
      <c r="I36" s="1">
        <v>3.3552749762092202</v>
      </c>
      <c r="J36" s="1">
        <v>4.5944877360017804</v>
      </c>
    </row>
    <row r="37" spans="2:10">
      <c r="B37" s="1" t="str">
        <f>B36</f>
        <v xml:space="preserve">IUML      </v>
      </c>
      <c r="C37" s="1" t="str">
        <f>C36</f>
        <v>Indian Union Muslim League</v>
      </c>
      <c r="D37" s="2" t="s">
        <v>15</v>
      </c>
      <c r="E37" s="1">
        <f>SUM(E36:E36)</f>
        <v>2</v>
      </c>
      <c r="F37" s="1">
        <f>SUM(F36:F36)</f>
        <v>2</v>
      </c>
      <c r="G37" s="1">
        <f>SUM(G36:G36)</f>
        <v>0</v>
      </c>
      <c r="H37" s="1">
        <f>SUM(H36:H36)</f>
        <v>816226</v>
      </c>
      <c r="I37" s="1">
        <v>3.3552749762092202</v>
      </c>
      <c r="J37" s="1">
        <v>4.5944877360017804</v>
      </c>
    </row>
    <row r="38" spans="2:10">
      <c r="B38" s="1" t="s">
        <v>56</v>
      </c>
      <c r="C38" s="1" t="s">
        <v>57</v>
      </c>
      <c r="D38" s="1" t="s">
        <v>58</v>
      </c>
      <c r="E38" s="1">
        <v>25</v>
      </c>
      <c r="F38" s="1">
        <v>2</v>
      </c>
      <c r="G38" s="1">
        <v>17</v>
      </c>
      <c r="H38" s="1">
        <v>3406465</v>
      </c>
      <c r="I38" s="1">
        <v>7.3717350901203602</v>
      </c>
      <c r="J38" s="1">
        <v>11.066785397995799</v>
      </c>
    </row>
    <row r="39" spans="2:10">
      <c r="B39" s="1" t="s">
        <v>59</v>
      </c>
      <c r="C39" s="1" t="s">
        <v>57</v>
      </c>
      <c r="D39" s="1" t="s">
        <v>55</v>
      </c>
      <c r="E39" s="1">
        <v>1</v>
      </c>
      <c r="F39" s="1">
        <v>0</v>
      </c>
      <c r="G39" s="1">
        <v>0</v>
      </c>
      <c r="H39" s="1">
        <v>303595</v>
      </c>
      <c r="I39" s="1">
        <v>1.24799345573682</v>
      </c>
      <c r="J39" s="1">
        <v>1.7089182459410299</v>
      </c>
    </row>
    <row r="40" spans="2:10">
      <c r="B40" s="1" t="str">
        <f>B39</f>
        <v>JD(S)</v>
      </c>
      <c r="C40" s="1" t="str">
        <f>C39</f>
        <v>Janata Dal  (Secular)</v>
      </c>
      <c r="D40" s="2" t="s">
        <v>15</v>
      </c>
      <c r="E40" s="1">
        <f>SUM(E38:E39)</f>
        <v>26</v>
      </c>
      <c r="F40" s="1">
        <f>SUM(F38:F39)</f>
        <v>2</v>
      </c>
      <c r="G40" s="1">
        <f>SUM(G38:G39)</f>
        <v>17</v>
      </c>
      <c r="H40" s="1">
        <f>SUM(H38:H39)</f>
        <v>3710060</v>
      </c>
      <c r="I40" s="1">
        <v>5.2597760678757002</v>
      </c>
      <c r="J40" s="1">
        <v>7.6423107073509504</v>
      </c>
    </row>
    <row r="41" spans="2:10">
      <c r="B41" s="1" t="s">
        <v>60</v>
      </c>
      <c r="C41" s="1" t="s">
        <v>61</v>
      </c>
      <c r="D41" s="1" t="s">
        <v>62</v>
      </c>
      <c r="E41" s="1">
        <v>38</v>
      </c>
      <c r="F41" s="1">
        <v>2</v>
      </c>
      <c r="G41" s="1">
        <v>23</v>
      </c>
      <c r="H41" s="1">
        <v>5662444</v>
      </c>
      <c r="I41" s="1">
        <v>8.8752818174750701</v>
      </c>
      <c r="J41" s="1">
        <v>16.038933199427301</v>
      </c>
    </row>
    <row r="42" spans="2:10">
      <c r="B42" s="1" t="str">
        <f>B41</f>
        <v xml:space="preserve">JD(U)     </v>
      </c>
      <c r="C42" s="1" t="str">
        <f>C41</f>
        <v>Janata Dal  (United)</v>
      </c>
      <c r="D42" s="2" t="s">
        <v>15</v>
      </c>
      <c r="E42" s="1">
        <f>SUM(E41:E41)</f>
        <v>38</v>
      </c>
      <c r="F42" s="1">
        <f>SUM(F41:F41)</f>
        <v>2</v>
      </c>
      <c r="G42" s="1">
        <f>SUM(G41:G41)</f>
        <v>23</v>
      </c>
      <c r="H42" s="1">
        <f>SUM(H41:H41)</f>
        <v>5662444</v>
      </c>
      <c r="I42" s="1">
        <v>8.8752818174750701</v>
      </c>
      <c r="J42" s="1">
        <v>16.038933199427301</v>
      </c>
    </row>
    <row r="43" spans="2:10">
      <c r="B43" s="1" t="s">
        <v>63</v>
      </c>
      <c r="C43" s="1" t="s">
        <v>64</v>
      </c>
      <c r="D43" s="1" t="s">
        <v>65</v>
      </c>
      <c r="E43" s="1">
        <v>3</v>
      </c>
      <c r="F43" s="1">
        <v>0</v>
      </c>
      <c r="G43" s="1">
        <v>0</v>
      </c>
      <c r="H43" s="1">
        <v>396713</v>
      </c>
      <c r="I43" s="1">
        <v>5.5228438748628896</v>
      </c>
      <c r="J43" s="1">
        <v>11.2214392332447</v>
      </c>
    </row>
    <row r="44" spans="2:10">
      <c r="B44" s="1" t="str">
        <f>B43</f>
        <v>JKN</v>
      </c>
      <c r="C44" s="1" t="str">
        <f>C43</f>
        <v>Jammu &amp; Kashmir National Conference</v>
      </c>
      <c r="D44" s="2" t="s">
        <v>15</v>
      </c>
      <c r="E44" s="1">
        <f>SUM(E43:E43)</f>
        <v>3</v>
      </c>
      <c r="F44" s="1">
        <f>SUM(F43:F43)</f>
        <v>0</v>
      </c>
      <c r="G44" s="1">
        <f>SUM(G43:G43)</f>
        <v>0</v>
      </c>
      <c r="H44" s="1">
        <f>SUM(H43:H43)</f>
        <v>396713</v>
      </c>
      <c r="I44" s="1">
        <v>5.5228438748628896</v>
      </c>
      <c r="J44" s="1">
        <v>11.2214392332447</v>
      </c>
    </row>
    <row r="45" spans="2:10">
      <c r="B45" s="1" t="s">
        <v>66</v>
      </c>
      <c r="C45" s="1" t="s">
        <v>67</v>
      </c>
      <c r="D45" s="1" t="s">
        <v>65</v>
      </c>
      <c r="E45" s="1">
        <v>5</v>
      </c>
      <c r="F45" s="1">
        <v>0</v>
      </c>
      <c r="G45" s="1">
        <v>5</v>
      </c>
      <c r="H45" s="1">
        <v>43452</v>
      </c>
      <c r="I45" s="1">
        <v>0.60491743918284102</v>
      </c>
      <c r="J45" s="1">
        <v>1.22908494947972</v>
      </c>
    </row>
    <row r="46" spans="2:10">
      <c r="B46" s="1" t="str">
        <f>B45</f>
        <v>JKNPP</v>
      </c>
      <c r="C46" s="1" t="str">
        <f>C45</f>
        <v>Jammu &amp; Kashmir National Panthers Party</v>
      </c>
      <c r="D46" s="2" t="s">
        <v>15</v>
      </c>
      <c r="E46" s="1">
        <f>SUM(E45:E45)</f>
        <v>5</v>
      </c>
      <c r="F46" s="1">
        <f>SUM(F45:F45)</f>
        <v>0</v>
      </c>
      <c r="G46" s="1">
        <f>SUM(G45:G45)</f>
        <v>5</v>
      </c>
      <c r="H46" s="1">
        <f>SUM(H45:H45)</f>
        <v>43452</v>
      </c>
      <c r="I46" s="1">
        <v>0.60491743918284102</v>
      </c>
      <c r="J46" s="1">
        <v>1.22908494947972</v>
      </c>
    </row>
    <row r="47" spans="2:10">
      <c r="B47" s="1" t="s">
        <v>68</v>
      </c>
      <c r="C47" s="1" t="s">
        <v>69</v>
      </c>
      <c r="D47" s="1" t="s">
        <v>65</v>
      </c>
      <c r="E47" s="1">
        <v>5</v>
      </c>
      <c r="F47" s="1">
        <v>3</v>
      </c>
      <c r="G47" s="1">
        <v>2</v>
      </c>
      <c r="H47" s="1">
        <v>732644</v>
      </c>
      <c r="I47" s="1">
        <v>10.1995105475622</v>
      </c>
      <c r="J47" s="1">
        <v>20.723596467978901</v>
      </c>
    </row>
    <row r="48" spans="2:10">
      <c r="B48" s="1" t="str">
        <f>B47</f>
        <v xml:space="preserve">JKPDP     </v>
      </c>
      <c r="C48" s="1" t="str">
        <f>C47</f>
        <v>Jammu &amp; Kashmir Peoples Democratic Party</v>
      </c>
      <c r="D48" s="2" t="s">
        <v>15</v>
      </c>
      <c r="E48" s="1">
        <f>SUM(E47:E47)</f>
        <v>5</v>
      </c>
      <c r="F48" s="1">
        <f>SUM(F47:F47)</f>
        <v>3</v>
      </c>
      <c r="G48" s="1">
        <f>SUM(G47:G47)</f>
        <v>2</v>
      </c>
      <c r="H48" s="1">
        <f>SUM(H47:H47)</f>
        <v>732644</v>
      </c>
      <c r="I48" s="1">
        <v>10.1995105475622</v>
      </c>
      <c r="J48" s="1">
        <v>20.723596467978901</v>
      </c>
    </row>
    <row r="49" spans="2:10">
      <c r="B49" s="1" t="s">
        <v>70</v>
      </c>
      <c r="C49" s="1" t="s">
        <v>71</v>
      </c>
      <c r="D49" s="1" t="s">
        <v>38</v>
      </c>
      <c r="E49" s="1">
        <v>4</v>
      </c>
      <c r="F49" s="1">
        <v>2</v>
      </c>
      <c r="G49" s="1">
        <v>1</v>
      </c>
      <c r="H49" s="1">
        <v>1205031</v>
      </c>
      <c r="I49" s="1">
        <v>5.9215876168979804</v>
      </c>
      <c r="J49" s="1">
        <v>9.4201827343358708</v>
      </c>
    </row>
    <row r="50" spans="2:10">
      <c r="B50" s="1" t="str">
        <f>B49</f>
        <v xml:space="preserve">JMM       </v>
      </c>
      <c r="C50" s="1" t="str">
        <f>C49</f>
        <v>Jharkhand Mukti Morcha</v>
      </c>
      <c r="D50" s="2" t="s">
        <v>15</v>
      </c>
      <c r="E50" s="1">
        <f>SUM(E49:E49)</f>
        <v>4</v>
      </c>
      <c r="F50" s="1">
        <f>SUM(F49:F49)</f>
        <v>2</v>
      </c>
      <c r="G50" s="1">
        <f>SUM(G49:G49)</f>
        <v>1</v>
      </c>
      <c r="H50" s="1">
        <f>SUM(H49:H49)</f>
        <v>1205031</v>
      </c>
      <c r="I50" s="1">
        <v>5.9215876168979804</v>
      </c>
      <c r="J50" s="1">
        <v>9.4201827343358708</v>
      </c>
    </row>
    <row r="51" spans="2:10">
      <c r="B51" s="1" t="s">
        <v>72</v>
      </c>
      <c r="C51" s="1" t="s">
        <v>73</v>
      </c>
      <c r="D51" s="1" t="s">
        <v>38</v>
      </c>
      <c r="E51" s="1">
        <v>14</v>
      </c>
      <c r="F51" s="1">
        <v>0</v>
      </c>
      <c r="G51" s="1">
        <v>11</v>
      </c>
      <c r="H51" s="1">
        <v>1567655</v>
      </c>
      <c r="I51" s="1">
        <v>7.7035415981565603</v>
      </c>
      <c r="J51" s="1">
        <v>12.2549515858059</v>
      </c>
    </row>
    <row r="52" spans="2:10">
      <c r="B52" s="1" t="str">
        <f>B51</f>
        <v>JVM</v>
      </c>
      <c r="C52" s="1" t="str">
        <f>C51</f>
        <v>Jharkhand Vikas Morcha (Prajatantrik)</v>
      </c>
      <c r="D52" s="2" t="s">
        <v>15</v>
      </c>
      <c r="E52" s="1">
        <f>SUM(E51:E51)</f>
        <v>14</v>
      </c>
      <c r="F52" s="1">
        <f>SUM(F51:F51)</f>
        <v>0</v>
      </c>
      <c r="G52" s="1">
        <f>SUM(G51:G51)</f>
        <v>11</v>
      </c>
      <c r="H52" s="1">
        <f>SUM(H51:H51)</f>
        <v>1567655</v>
      </c>
      <c r="I52" s="1">
        <v>7.7035415981565603</v>
      </c>
      <c r="J52" s="1">
        <v>12.2549515858059</v>
      </c>
    </row>
    <row r="53" spans="2:10">
      <c r="B53" s="1" t="s">
        <v>74</v>
      </c>
      <c r="C53" s="1" t="s">
        <v>75</v>
      </c>
      <c r="D53" s="1" t="s">
        <v>55</v>
      </c>
      <c r="E53" s="1">
        <v>1</v>
      </c>
      <c r="F53" s="1">
        <v>1</v>
      </c>
      <c r="G53" s="1">
        <v>0</v>
      </c>
      <c r="H53" s="1">
        <v>424194</v>
      </c>
      <c r="I53" s="1">
        <v>1.74374194556176</v>
      </c>
      <c r="J53" s="1">
        <v>2.3877628630863801</v>
      </c>
    </row>
    <row r="54" spans="2:10">
      <c r="B54" s="1" t="str">
        <f>B53</f>
        <v xml:space="preserve">KEC(M)    </v>
      </c>
      <c r="C54" s="1" t="str">
        <f>C53</f>
        <v>Kerala Congress  (M)</v>
      </c>
      <c r="D54" s="2" t="s">
        <v>15</v>
      </c>
      <c r="E54" s="1">
        <f>SUM(E53:E53)</f>
        <v>1</v>
      </c>
      <c r="F54" s="1">
        <f>SUM(F53:F53)</f>
        <v>1</v>
      </c>
      <c r="G54" s="1">
        <f>SUM(G53:G53)</f>
        <v>0</v>
      </c>
      <c r="H54" s="1">
        <f>SUM(H53:H53)</f>
        <v>424194</v>
      </c>
      <c r="I54" s="1">
        <v>1.74374194556176</v>
      </c>
      <c r="J54" s="1">
        <v>2.3877628630863801</v>
      </c>
    </row>
    <row r="55" spans="2:10">
      <c r="B55" s="1" t="s">
        <v>76</v>
      </c>
      <c r="C55" s="1" t="s">
        <v>77</v>
      </c>
      <c r="D55" s="1" t="s">
        <v>62</v>
      </c>
      <c r="E55" s="1">
        <v>7</v>
      </c>
      <c r="F55" s="1">
        <v>6</v>
      </c>
      <c r="G55" s="1">
        <v>0</v>
      </c>
      <c r="H55" s="1">
        <v>2295929</v>
      </c>
      <c r="I55" s="1">
        <v>3.5986257714714198</v>
      </c>
      <c r="J55" s="1">
        <v>6.5032434513485704</v>
      </c>
    </row>
    <row r="56" spans="2:10">
      <c r="B56" s="1" t="str">
        <f>B55</f>
        <v xml:space="preserve">LJP       </v>
      </c>
      <c r="C56" s="1" t="str">
        <f>C55</f>
        <v>Lok Jan Shakti Party</v>
      </c>
      <c r="D56" s="2" t="s">
        <v>15</v>
      </c>
      <c r="E56" s="1">
        <f>SUM(E55:E55)</f>
        <v>7</v>
      </c>
      <c r="F56" s="1">
        <f>SUM(F55:F55)</f>
        <v>6</v>
      </c>
      <c r="G56" s="1">
        <f>SUM(G55:G55)</f>
        <v>0</v>
      </c>
      <c r="H56" s="1">
        <f>SUM(H55:H55)</f>
        <v>2295929</v>
      </c>
      <c r="I56" s="1">
        <v>3.5986257714714198</v>
      </c>
      <c r="J56" s="1">
        <v>6.5032434513485704</v>
      </c>
    </row>
    <row r="57" spans="2:10">
      <c r="B57" s="1" t="s">
        <v>78</v>
      </c>
      <c r="C57" s="1" t="s">
        <v>79</v>
      </c>
      <c r="D57" s="1" t="s">
        <v>80</v>
      </c>
      <c r="E57" s="1">
        <v>10</v>
      </c>
      <c r="F57" s="1">
        <v>0</v>
      </c>
      <c r="G57" s="1">
        <v>10</v>
      </c>
      <c r="H57" s="1">
        <v>708010</v>
      </c>
      <c r="I57" s="1">
        <v>0.87626276437219897</v>
      </c>
      <c r="J57" s="1">
        <v>1.4663374274773799</v>
      </c>
    </row>
    <row r="58" spans="2:10">
      <c r="B58" s="1" t="str">
        <f>B57</f>
        <v>MNS</v>
      </c>
      <c r="C58" s="1" t="str">
        <f>C57</f>
        <v>Maharashtra Navnirman sena</v>
      </c>
      <c r="D58" s="2" t="s">
        <v>15</v>
      </c>
      <c r="E58" s="1">
        <f>SUM(E57:E57)</f>
        <v>10</v>
      </c>
      <c r="F58" s="1">
        <f>SUM(F57:F57)</f>
        <v>0</v>
      </c>
      <c r="G58" s="1">
        <f>SUM(G57:G57)</f>
        <v>10</v>
      </c>
      <c r="H58" s="1">
        <f>SUM(H57:H57)</f>
        <v>708010</v>
      </c>
      <c r="I58" s="1">
        <v>0.87626276437219897</v>
      </c>
      <c r="J58" s="1">
        <v>1.4663374274773799</v>
      </c>
    </row>
    <row r="59" spans="2:10">
      <c r="B59" s="1" t="s">
        <v>81</v>
      </c>
      <c r="C59" s="1" t="s">
        <v>82</v>
      </c>
      <c r="D59" s="1" t="s">
        <v>83</v>
      </c>
      <c r="E59" s="1">
        <v>1</v>
      </c>
      <c r="F59" s="1">
        <v>1</v>
      </c>
      <c r="G59" s="1">
        <v>0</v>
      </c>
      <c r="H59" s="1">
        <v>239301</v>
      </c>
      <c r="I59" s="1">
        <v>15.268934388521</v>
      </c>
      <c r="J59" s="1">
        <v>22.835960618868199</v>
      </c>
    </row>
    <row r="60" spans="2:10">
      <c r="B60" s="1" t="str">
        <f>B59</f>
        <v xml:space="preserve">NPEP      </v>
      </c>
      <c r="C60" s="1" t="str">
        <f>C59</f>
        <v>National Peoples Party</v>
      </c>
      <c r="D60" s="2" t="s">
        <v>15</v>
      </c>
      <c r="E60" s="1">
        <f>SUM(E59:E59)</f>
        <v>1</v>
      </c>
      <c r="F60" s="1">
        <f>SUM(F59:F59)</f>
        <v>1</v>
      </c>
      <c r="G60" s="1">
        <f>SUM(G59:G59)</f>
        <v>0</v>
      </c>
      <c r="H60" s="1">
        <f>SUM(H59:H59)</f>
        <v>239301</v>
      </c>
      <c r="I60" s="1">
        <v>15.268934388521</v>
      </c>
      <c r="J60" s="1">
        <v>22.835960618868199</v>
      </c>
    </row>
    <row r="61" spans="2:10">
      <c r="B61" s="1" t="s">
        <v>84</v>
      </c>
      <c r="C61" s="1" t="s">
        <v>85</v>
      </c>
      <c r="D61" s="1" t="s">
        <v>32</v>
      </c>
      <c r="E61" s="1">
        <v>1</v>
      </c>
      <c r="F61" s="1">
        <v>0</v>
      </c>
      <c r="G61" s="1">
        <v>0</v>
      </c>
      <c r="H61" s="1">
        <v>281133</v>
      </c>
      <c r="I61" s="1">
        <v>15.8441113432437</v>
      </c>
      <c r="J61" s="1">
        <v>20.007586475861299</v>
      </c>
    </row>
    <row r="62" spans="2:10">
      <c r="B62" s="1" t="s">
        <v>86</v>
      </c>
      <c r="C62" s="1" t="s">
        <v>85</v>
      </c>
      <c r="D62" s="1" t="s">
        <v>87</v>
      </c>
      <c r="E62" s="1">
        <v>1</v>
      </c>
      <c r="F62" s="1">
        <v>1</v>
      </c>
      <c r="G62" s="1">
        <v>0</v>
      </c>
      <c r="H62" s="1">
        <v>713372</v>
      </c>
      <c r="I62" s="1">
        <v>60.303371508370397</v>
      </c>
      <c r="J62" s="1">
        <v>68.844080469864295</v>
      </c>
    </row>
    <row r="63" spans="2:10">
      <c r="B63" s="1" t="str">
        <f>B62</f>
        <v xml:space="preserve">NPF       </v>
      </c>
      <c r="C63" s="1" t="str">
        <f>C62</f>
        <v>Naga Peoples Front</v>
      </c>
      <c r="D63" s="2" t="s">
        <v>15</v>
      </c>
      <c r="E63" s="1">
        <f>SUM(E61:E62)</f>
        <v>2</v>
      </c>
      <c r="F63" s="1">
        <f>SUM(F61:F62)</f>
        <v>1</v>
      </c>
      <c r="G63" s="1">
        <f>SUM(G61:G62)</f>
        <v>0</v>
      </c>
      <c r="H63" s="1">
        <f>SUM(H61:H62)</f>
        <v>994505</v>
      </c>
      <c r="I63" s="1">
        <v>33.628350602788103</v>
      </c>
      <c r="J63" s="1">
        <v>40.735930097577302</v>
      </c>
    </row>
    <row r="64" spans="2:10">
      <c r="B64" s="1" t="s">
        <v>88</v>
      </c>
      <c r="C64" s="1" t="s">
        <v>89</v>
      </c>
      <c r="D64" s="1" t="s">
        <v>20</v>
      </c>
      <c r="E64" s="1">
        <v>1</v>
      </c>
      <c r="F64" s="1">
        <v>0</v>
      </c>
      <c r="G64" s="1">
        <v>1</v>
      </c>
      <c r="H64" s="1">
        <v>22754</v>
      </c>
      <c r="I64" s="1">
        <v>2.5244159639299402</v>
      </c>
      <c r="J64" s="1">
        <v>3.1701890215103101</v>
      </c>
    </row>
    <row r="65" spans="2:10">
      <c r="B65" s="1" t="str">
        <f>B64</f>
        <v>PMK</v>
      </c>
      <c r="C65" s="1" t="str">
        <f>C64</f>
        <v>Pattali Makkal Katchi</v>
      </c>
      <c r="D65" s="2" t="s">
        <v>15</v>
      </c>
      <c r="E65" s="1">
        <f>SUM(E64:E64)</f>
        <v>1</v>
      </c>
      <c r="F65" s="1">
        <f>SUM(F64:F64)</f>
        <v>0</v>
      </c>
      <c r="G65" s="1">
        <f>SUM(G64:G64)</f>
        <v>1</v>
      </c>
      <c r="H65" s="1">
        <f>SUM(H64:H64)</f>
        <v>22754</v>
      </c>
      <c r="I65" s="1">
        <v>2.5244159639299402</v>
      </c>
      <c r="J65" s="1">
        <v>3.1701890215103101</v>
      </c>
    </row>
    <row r="66" spans="2:10">
      <c r="B66" s="1" t="s">
        <v>90</v>
      </c>
      <c r="C66" s="1" t="s">
        <v>91</v>
      </c>
      <c r="D66" s="1" t="s">
        <v>31</v>
      </c>
      <c r="E66" s="1">
        <v>2</v>
      </c>
      <c r="F66" s="1">
        <v>0</v>
      </c>
      <c r="G66" s="1">
        <v>2</v>
      </c>
      <c r="H66" s="1">
        <v>47018</v>
      </c>
      <c r="I66" s="1">
        <v>6.1919235550685903</v>
      </c>
      <c r="J66" s="1">
        <v>7.9605847943315204</v>
      </c>
    </row>
    <row r="67" spans="2:10">
      <c r="B67" s="1" t="str">
        <f>B66</f>
        <v>PPA</v>
      </c>
      <c r="C67" s="1" t="str">
        <f>C66</f>
        <v>People's Party of Arunachal</v>
      </c>
      <c r="D67" s="2" t="s">
        <v>15</v>
      </c>
      <c r="E67" s="1">
        <f>SUM(E66:E66)</f>
        <v>2</v>
      </c>
      <c r="F67" s="1">
        <f>SUM(F66:F66)</f>
        <v>0</v>
      </c>
      <c r="G67" s="1">
        <f>SUM(G66:G66)</f>
        <v>2</v>
      </c>
      <c r="H67" s="1">
        <f>SUM(H66:H66)</f>
        <v>47018</v>
      </c>
      <c r="I67" s="1">
        <v>6.1919235550685903</v>
      </c>
      <c r="J67" s="1">
        <v>7.9605847943315204</v>
      </c>
    </row>
    <row r="68" spans="2:10">
      <c r="B68" s="1" t="s">
        <v>92</v>
      </c>
      <c r="C68" s="1" t="s">
        <v>93</v>
      </c>
      <c r="D68" s="1" t="s">
        <v>62</v>
      </c>
      <c r="E68" s="1">
        <v>27</v>
      </c>
      <c r="F68" s="1">
        <v>4</v>
      </c>
      <c r="G68" s="1">
        <v>1</v>
      </c>
      <c r="H68" s="1">
        <v>7224893</v>
      </c>
      <c r="I68" s="1">
        <v>11.324255299673201</v>
      </c>
      <c r="J68" s="1">
        <v>20.4645867049652</v>
      </c>
    </row>
    <row r="69" spans="2:10">
      <c r="B69" s="1" t="s">
        <v>94</v>
      </c>
      <c r="C69" s="1" t="s">
        <v>93</v>
      </c>
      <c r="D69" s="1" t="s">
        <v>38</v>
      </c>
      <c r="E69" s="1">
        <v>1</v>
      </c>
      <c r="F69" s="1">
        <v>0</v>
      </c>
      <c r="G69" s="1">
        <v>0</v>
      </c>
      <c r="H69" s="1">
        <v>212571</v>
      </c>
      <c r="I69" s="1">
        <v>1.04458541009453</v>
      </c>
      <c r="J69" s="1">
        <v>1.66174784218872</v>
      </c>
    </row>
    <row r="70" spans="2:10">
      <c r="B70" s="1" t="str">
        <f>B69</f>
        <v>RJD</v>
      </c>
      <c r="C70" s="1" t="str">
        <f>C69</f>
        <v>Rashtriya Janata Dal</v>
      </c>
      <c r="D70" s="2" t="s">
        <v>15</v>
      </c>
      <c r="E70" s="1">
        <f>SUM(E68:E69)</f>
        <v>28</v>
      </c>
      <c r="F70" s="1">
        <f>SUM(F68:F69)</f>
        <v>4</v>
      </c>
      <c r="G70" s="1">
        <f>SUM(G68:G69)</f>
        <v>1</v>
      </c>
      <c r="H70" s="1">
        <f>SUM(H68:H69)</f>
        <v>7437464</v>
      </c>
      <c r="I70" s="1">
        <v>8.8383456789923898</v>
      </c>
      <c r="J70" s="1">
        <v>15.463666590631799</v>
      </c>
    </row>
    <row r="71" spans="2:10">
      <c r="B71" s="1" t="s">
        <v>95</v>
      </c>
      <c r="C71" s="1" t="s">
        <v>96</v>
      </c>
      <c r="D71" s="1" t="s">
        <v>97</v>
      </c>
      <c r="E71" s="1">
        <v>8</v>
      </c>
      <c r="F71" s="1">
        <v>0</v>
      </c>
      <c r="G71" s="1">
        <v>6</v>
      </c>
      <c r="H71" s="1">
        <v>689409</v>
      </c>
      <c r="I71" s="1">
        <v>0.496654588022437</v>
      </c>
      <c r="J71" s="1">
        <v>0.85640030186536398</v>
      </c>
    </row>
    <row r="72" spans="2:10">
      <c r="B72" s="1" t="str">
        <f>B71</f>
        <v>RLD</v>
      </c>
      <c r="C72" s="1" t="str">
        <f>C71</f>
        <v>Rashtriya Lok Dal</v>
      </c>
      <c r="D72" s="2" t="s">
        <v>15</v>
      </c>
      <c r="E72" s="1">
        <f>SUM(E71:E71)</f>
        <v>8</v>
      </c>
      <c r="F72" s="1">
        <f>SUM(F71:F71)</f>
        <v>0</v>
      </c>
      <c r="G72" s="1">
        <f>SUM(G71:G71)</f>
        <v>6</v>
      </c>
      <c r="H72" s="1">
        <f>SUM(H71:H71)</f>
        <v>689409</v>
      </c>
      <c r="I72" s="1">
        <v>0.496654588022437</v>
      </c>
      <c r="J72" s="1">
        <v>0.85640030186536398</v>
      </c>
    </row>
    <row r="73" spans="2:10">
      <c r="B73" s="1" t="s">
        <v>98</v>
      </c>
      <c r="C73" s="1" t="s">
        <v>99</v>
      </c>
      <c r="D73" s="1" t="s">
        <v>26</v>
      </c>
      <c r="E73" s="1">
        <v>4</v>
      </c>
      <c r="F73" s="1">
        <v>0</v>
      </c>
      <c r="G73" s="1">
        <v>0</v>
      </c>
      <c r="H73" s="1">
        <v>1255794</v>
      </c>
      <c r="I73" s="1">
        <v>1.9986181490005099</v>
      </c>
      <c r="J73" s="1">
        <v>2.4594219872436098</v>
      </c>
    </row>
    <row r="74" spans="2:10">
      <c r="B74" s="1" t="str">
        <f>B73</f>
        <v>RSP</v>
      </c>
      <c r="C74" s="1" t="str">
        <f>C73</f>
        <v>Revolutionary Socialist Party</v>
      </c>
      <c r="D74" s="2" t="s">
        <v>15</v>
      </c>
      <c r="E74" s="1">
        <f>SUM(E73:E73)</f>
        <v>4</v>
      </c>
      <c r="F74" s="1">
        <f>SUM(F73:F73)</f>
        <v>0</v>
      </c>
      <c r="G74" s="1">
        <f>SUM(G73:G73)</f>
        <v>0</v>
      </c>
      <c r="H74" s="1">
        <f>SUM(H73:H73)</f>
        <v>1255794</v>
      </c>
      <c r="I74" s="1">
        <v>1.9986181490005099</v>
      </c>
      <c r="J74" s="1">
        <v>2.4594219872436098</v>
      </c>
    </row>
    <row r="75" spans="2:10">
      <c r="B75" s="1" t="s">
        <v>100</v>
      </c>
      <c r="C75" s="1" t="s">
        <v>101</v>
      </c>
      <c r="D75" s="1" t="s">
        <v>102</v>
      </c>
      <c r="E75" s="1">
        <v>10</v>
      </c>
      <c r="F75" s="1">
        <v>4</v>
      </c>
      <c r="G75" s="1">
        <v>0</v>
      </c>
      <c r="H75" s="1">
        <v>3636148</v>
      </c>
      <c r="I75" s="1">
        <v>18.5440541823377</v>
      </c>
      <c r="J75" s="1">
        <v>26.3749332855954</v>
      </c>
    </row>
    <row r="76" spans="2:10">
      <c r="B76" s="1" t="str">
        <f>B75</f>
        <v xml:space="preserve">SAD       </v>
      </c>
      <c r="C76" s="1" t="str">
        <f>C75</f>
        <v>Shiromani Akali Dal</v>
      </c>
      <c r="D76" s="2" t="s">
        <v>15</v>
      </c>
      <c r="E76" s="1">
        <f>SUM(E75:E75)</f>
        <v>10</v>
      </c>
      <c r="F76" s="1">
        <f>SUM(F75:F75)</f>
        <v>4</v>
      </c>
      <c r="G76" s="1">
        <f>SUM(G75:G75)</f>
        <v>0</v>
      </c>
      <c r="H76" s="1">
        <f>SUM(H75:H75)</f>
        <v>3636148</v>
      </c>
      <c r="I76" s="1">
        <v>18.5440541823377</v>
      </c>
      <c r="J76" s="1">
        <v>26.3749332855954</v>
      </c>
    </row>
    <row r="77" spans="2:10">
      <c r="B77" s="1" t="s">
        <v>103</v>
      </c>
      <c r="C77" s="1" t="s">
        <v>104</v>
      </c>
      <c r="D77" s="1" t="s">
        <v>105</v>
      </c>
      <c r="E77" s="1">
        <v>1</v>
      </c>
      <c r="F77" s="1">
        <v>1</v>
      </c>
      <c r="G77" s="1">
        <v>0</v>
      </c>
      <c r="H77" s="1">
        <v>163698</v>
      </c>
      <c r="I77" s="1">
        <v>44.150821263856301</v>
      </c>
      <c r="J77" s="1">
        <v>53.735782165542403</v>
      </c>
    </row>
    <row r="78" spans="2:10">
      <c r="B78" s="1" t="str">
        <f>B77</f>
        <v xml:space="preserve">SDF       </v>
      </c>
      <c r="C78" s="1" t="str">
        <f>C77</f>
        <v>Sikkim Democratic Front</v>
      </c>
      <c r="D78" s="2" t="s">
        <v>15</v>
      </c>
      <c r="E78" s="1">
        <f>SUM(E77:E77)</f>
        <v>1</v>
      </c>
      <c r="F78" s="1">
        <f>SUM(F77:F77)</f>
        <v>1</v>
      </c>
      <c r="G78" s="1">
        <f>SUM(G77:G77)</f>
        <v>0</v>
      </c>
      <c r="H78" s="1">
        <f>SUM(H77:H77)</f>
        <v>163698</v>
      </c>
      <c r="I78" s="1">
        <v>44.150821263856301</v>
      </c>
      <c r="J78" s="1">
        <v>53.735782165542403</v>
      </c>
    </row>
    <row r="79" spans="2:10">
      <c r="B79" s="1" t="s">
        <v>106</v>
      </c>
      <c r="C79" s="1" t="s">
        <v>107</v>
      </c>
      <c r="D79" s="1" t="s">
        <v>80</v>
      </c>
      <c r="E79" s="1">
        <v>20</v>
      </c>
      <c r="F79" s="1">
        <v>18</v>
      </c>
      <c r="G79" s="1">
        <v>0</v>
      </c>
      <c r="H79" s="1">
        <v>10050652</v>
      </c>
      <c r="I79" s="1">
        <v>12.439106940951399</v>
      </c>
      <c r="J79" s="1">
        <v>20.815591867559</v>
      </c>
    </row>
    <row r="80" spans="2:10">
      <c r="B80" s="1" t="str">
        <f>B79</f>
        <v xml:space="preserve">SHS       </v>
      </c>
      <c r="C80" s="1" t="str">
        <f>C79</f>
        <v>Shivsena</v>
      </c>
      <c r="D80" s="2" t="s">
        <v>15</v>
      </c>
      <c r="E80" s="1">
        <f>SUM(E79:E79)</f>
        <v>20</v>
      </c>
      <c r="F80" s="1">
        <f>SUM(F79:F79)</f>
        <v>18</v>
      </c>
      <c r="G80" s="1">
        <f>SUM(G79:G79)</f>
        <v>0</v>
      </c>
      <c r="H80" s="1">
        <f>SUM(H79:H79)</f>
        <v>10050652</v>
      </c>
      <c r="I80" s="1">
        <v>12.439106940951399</v>
      </c>
      <c r="J80" s="1">
        <v>20.815591867559</v>
      </c>
    </row>
    <row r="81" spans="2:10">
      <c r="B81" s="1" t="s">
        <v>108</v>
      </c>
      <c r="C81" s="1" t="s">
        <v>109</v>
      </c>
      <c r="D81" s="1" t="s">
        <v>97</v>
      </c>
      <c r="E81" s="1">
        <v>78</v>
      </c>
      <c r="F81" s="1">
        <v>5</v>
      </c>
      <c r="G81" s="1">
        <v>21</v>
      </c>
      <c r="H81" s="1">
        <v>17988967</v>
      </c>
      <c r="I81" s="1">
        <v>12.959365187188199</v>
      </c>
      <c r="J81" s="1">
        <v>22.346323835409901</v>
      </c>
    </row>
    <row r="82" spans="2:10">
      <c r="B82" s="1" t="str">
        <f>B81</f>
        <v xml:space="preserve">SP        </v>
      </c>
      <c r="C82" s="1" t="str">
        <f>C81</f>
        <v>Samajwadi Party</v>
      </c>
      <c r="D82" s="2" t="s">
        <v>15</v>
      </c>
      <c r="E82" s="1">
        <f>SUM(E81:E81)</f>
        <v>78</v>
      </c>
      <c r="F82" s="1">
        <f>SUM(F81:F81)</f>
        <v>5</v>
      </c>
      <c r="G82" s="1">
        <f>SUM(G81:G81)</f>
        <v>21</v>
      </c>
      <c r="H82" s="1">
        <f>SUM(H81:H81)</f>
        <v>17988967</v>
      </c>
      <c r="I82" s="1">
        <v>12.959365187188199</v>
      </c>
      <c r="J82" s="1">
        <v>22.346323835409901</v>
      </c>
    </row>
    <row r="83" spans="2:10">
      <c r="B83" s="1" t="s">
        <v>110</v>
      </c>
      <c r="C83" s="1" t="s">
        <v>111</v>
      </c>
      <c r="D83" s="1" t="s">
        <v>112</v>
      </c>
      <c r="E83" s="1">
        <v>30</v>
      </c>
      <c r="F83" s="1">
        <v>16</v>
      </c>
      <c r="G83" s="1">
        <v>2</v>
      </c>
      <c r="H83" s="1">
        <v>14099230</v>
      </c>
      <c r="I83" s="1">
        <v>21.713124150504601</v>
      </c>
      <c r="J83" s="1">
        <v>29.357106308970099</v>
      </c>
    </row>
    <row r="84" spans="2:10">
      <c r="B84" s="1" t="str">
        <f>B83</f>
        <v xml:space="preserve">TDP       </v>
      </c>
      <c r="C84" s="1" t="str">
        <f>C83</f>
        <v>Telugu Desam</v>
      </c>
      <c r="D84" s="2" t="s">
        <v>15</v>
      </c>
      <c r="E84" s="1">
        <f>SUM(E83:E83)</f>
        <v>30</v>
      </c>
      <c r="F84" s="1">
        <f>SUM(F83:F83)</f>
        <v>16</v>
      </c>
      <c r="G84" s="1">
        <f>SUM(G83:G83)</f>
        <v>2</v>
      </c>
      <c r="H84" s="1">
        <f>SUM(H83:H83)</f>
        <v>14099230</v>
      </c>
      <c r="I84" s="1">
        <v>21.713124150504601</v>
      </c>
      <c r="J84" s="1">
        <v>29.357106308970099</v>
      </c>
    </row>
    <row r="85" spans="2:10">
      <c r="B85" s="1" t="s">
        <v>113</v>
      </c>
      <c r="C85" s="1" t="s">
        <v>114</v>
      </c>
      <c r="D85" s="1" t="s">
        <v>112</v>
      </c>
      <c r="E85" s="1">
        <v>17</v>
      </c>
      <c r="F85" s="1">
        <v>11</v>
      </c>
      <c r="G85" s="1">
        <v>3</v>
      </c>
      <c r="H85" s="1">
        <v>6736270</v>
      </c>
      <c r="I85" s="1">
        <v>10.3740038868307</v>
      </c>
      <c r="J85" s="1">
        <v>14.0261130938304</v>
      </c>
    </row>
    <row r="86" spans="2:10">
      <c r="B86" s="1" t="str">
        <f>B85</f>
        <v xml:space="preserve">TRS       </v>
      </c>
      <c r="C86" s="1" t="str">
        <f>C85</f>
        <v>Telangana Rashtra Samithi</v>
      </c>
      <c r="D86" s="2" t="s">
        <v>15</v>
      </c>
      <c r="E86" s="1">
        <f>SUM(E85:E85)</f>
        <v>17</v>
      </c>
      <c r="F86" s="1">
        <f>SUM(F85:F85)</f>
        <v>11</v>
      </c>
      <c r="G86" s="1">
        <f>SUM(G85:G85)</f>
        <v>3</v>
      </c>
      <c r="H86" s="1">
        <f>SUM(H85:H85)</f>
        <v>6736270</v>
      </c>
      <c r="I86" s="1">
        <v>10.3740038868307</v>
      </c>
      <c r="J86" s="1">
        <v>14.0261130938304</v>
      </c>
    </row>
    <row r="87" spans="2:10">
      <c r="B87" s="1" t="s">
        <v>115</v>
      </c>
      <c r="C87" s="1" t="s">
        <v>116</v>
      </c>
      <c r="D87" s="1" t="s">
        <v>83</v>
      </c>
      <c r="E87" s="1">
        <v>1</v>
      </c>
      <c r="F87" s="1">
        <v>0</v>
      </c>
      <c r="G87" s="1">
        <v>0</v>
      </c>
      <c r="H87" s="1">
        <v>106817</v>
      </c>
      <c r="I87" s="1">
        <v>6.8156078101581103</v>
      </c>
      <c r="J87" s="1">
        <v>10.193308032250799</v>
      </c>
    </row>
    <row r="88" spans="2:10">
      <c r="B88" s="1" t="str">
        <f>B87</f>
        <v>UDP</v>
      </c>
      <c r="C88" s="1" t="str">
        <f>C87</f>
        <v>United Democratic Party</v>
      </c>
      <c r="D88" s="2" t="s">
        <v>15</v>
      </c>
      <c r="E88" s="1">
        <f>SUM(E87:E87)</f>
        <v>1</v>
      </c>
      <c r="F88" s="1">
        <f>SUM(F87:F87)</f>
        <v>0</v>
      </c>
      <c r="G88" s="1">
        <f>SUM(G87:G87)</f>
        <v>0</v>
      </c>
      <c r="H88" s="1">
        <f>SUM(H87:H87)</f>
        <v>106817</v>
      </c>
      <c r="I88" s="1">
        <v>6.8156078101581103</v>
      </c>
      <c r="J88" s="1">
        <v>10.193308032250799</v>
      </c>
    </row>
    <row r="89" spans="2:10">
      <c r="D89" s="3" t="s">
        <v>117</v>
      </c>
      <c r="E89" s="1">
        <v>529</v>
      </c>
      <c r="F89" s="1">
        <v>176</v>
      </c>
      <c r="G89" s="1">
        <v>153</v>
      </c>
      <c r="H89" s="1">
        <v>151935514</v>
      </c>
      <c r="I89" s="1">
        <v>10.130000000000001</v>
      </c>
      <c r="J89" s="1">
        <v>15.2</v>
      </c>
    </row>
  </sheetData>
  <mergeCells count="5">
    <mergeCell ref="E2:G2"/>
    <mergeCell ref="B1:J1"/>
    <mergeCell ref="D2:D3"/>
    <mergeCell ref="H2:H3"/>
    <mergeCell ref="I2:J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eci</cp:lastModifiedBy>
  <dcterms:created xsi:type="dcterms:W3CDTF">2017-02-20T09:38:40Z</dcterms:created>
  <dcterms:modified xsi:type="dcterms:W3CDTF">2017-02-22T07:15:33Z</dcterms:modified>
</cp:coreProperties>
</file>