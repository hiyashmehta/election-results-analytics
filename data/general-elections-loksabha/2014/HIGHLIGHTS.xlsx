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510" yWindow="885" windowWidth="19575" windowHeight="6570"/>
  </bookViews>
  <sheets>
    <sheet name="PCHighlisghts" sheetId="2" r:id="rId1"/>
  </sheets>
  <calcPr calcId="125725"/>
</workbook>
</file>

<file path=xl/calcChain.xml><?xml version="1.0" encoding="utf-8"?>
<calcChain xmlns="http://schemas.openxmlformats.org/spreadsheetml/2006/main">
  <c r="H22" i="2"/>
  <c r="H21"/>
  <c r="G4"/>
  <c r="G21"/>
  <c r="G23" s="1"/>
  <c r="G22"/>
  <c r="D23"/>
  <c r="E23"/>
  <c r="F23"/>
  <c r="G58"/>
  <c r="G59"/>
  <c r="G60"/>
</calcChain>
</file>

<file path=xl/sharedStrings.xml><?xml version="1.0" encoding="utf-8"?>
<sst xmlns="http://schemas.openxmlformats.org/spreadsheetml/2006/main" count="54" uniqueCount="46">
  <si>
    <t>HIGHLIGHTS</t>
  </si>
  <si>
    <t>NO. OF CONSTITUENCIES</t>
  </si>
  <si>
    <t>TYPE OF CONSTITUENCIES</t>
  </si>
  <si>
    <t>GEN</t>
  </si>
  <si>
    <t>SC</t>
  </si>
  <si>
    <t>ST</t>
  </si>
  <si>
    <t>TOTAL</t>
  </si>
  <si>
    <t>NO. OF CONTESTANTS</t>
  </si>
  <si>
    <t>NO OF CONTESTANTS IN A CONSTITUENCY</t>
  </si>
  <si>
    <t>6 TO 11</t>
  </si>
  <si>
    <t>11 TO 15</t>
  </si>
  <si>
    <t>ABOVE 15</t>
  </si>
  <si>
    <t>NO OF SUCH CONSTITUENCIES</t>
  </si>
  <si>
    <t>TOTAL CONTESTANTS IN FRAY</t>
  </si>
  <si>
    <t>AVERAGE CONTESTANTS PER CONSTITUENCY</t>
  </si>
  <si>
    <t>MINIMUM CONTESTANTS IN A CONSTITUENCY</t>
  </si>
  <si>
    <t>MAXIMUM CONTESTANTS PER CONSTITUENCY</t>
  </si>
  <si>
    <t>ELECTORS</t>
  </si>
  <si>
    <t>MALE</t>
  </si>
  <si>
    <t>FEMALE</t>
  </si>
  <si>
    <t>OTHERS</t>
  </si>
  <si>
    <t>NO OF ELECTORS(INCLUDING SERVICE ELECTORS)</t>
  </si>
  <si>
    <t>NO OF ELECTORS WHO VOTED AT POLLING STATIONS</t>
  </si>
  <si>
    <t>POLLING PERCENTAGE</t>
  </si>
  <si>
    <t>NO OF SERVICE ELECTORS</t>
  </si>
  <si>
    <t>NO OF POSTAL BALLOT RECIEVED</t>
  </si>
  <si>
    <t>POLL %(INCLUDING POSTAL BALLOTS)</t>
  </si>
  <si>
    <t>NO OF VALID VOTES</t>
  </si>
  <si>
    <t>VALID VOTES POLLED ON EVM</t>
  </si>
  <si>
    <t>VALID POSTAL VOTES</t>
  </si>
  <si>
    <t>TOTAL NOTA VOTES</t>
  </si>
  <si>
    <t xml:space="preserve"> 'NOTA' VOTES ON EVM</t>
  </si>
  <si>
    <t xml:space="preserve"> 'NOTA' VOTES ON POSTAL BALLOT</t>
  </si>
  <si>
    <t>NO OF VOTES REJECTED</t>
  </si>
  <si>
    <t>POSTAL</t>
  </si>
  <si>
    <t>VOTES NOT RETRIEVED ON EVM</t>
  </si>
  <si>
    <t>VOTES REJECTED DUE TO OTHER REASON(AT POLLING STATION)</t>
  </si>
  <si>
    <t>TENDERED VOTES</t>
  </si>
  <si>
    <t>PROXY VOTES</t>
  </si>
  <si>
    <t>NO OF POLLING STATIONS</t>
  </si>
  <si>
    <t>AVERAGE NO OF ELECTORS PER POLLING STATIONS</t>
  </si>
  <si>
    <t>NO OF RE-POLLS HELD</t>
  </si>
  <si>
    <t>PERFORMANCE OF CONTESTING CANDIDATES</t>
  </si>
  <si>
    <t>NO OF CONTESTANTS</t>
  </si>
  <si>
    <t>ELECTED</t>
  </si>
  <si>
    <t>FORFIETED DEPOSITS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</si>
</sst>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2" fontId="0" fillId="0" borderId="0" xfId="0" applyNumberFormat="1" applyFill="1" applyAlignment="1" applyProtection="1"/>
    <xf numFmtId="1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topLeftCell="A59" workbookViewId="0">
      <selection activeCell="C52" sqref="C52"/>
    </sheetView>
  </sheetViews>
  <sheetFormatPr defaultRowHeight="15"/>
  <cols>
    <col min="2" max="2" width="19" customWidth="1"/>
    <col min="3" max="3" width="10.85546875" customWidth="1"/>
    <col min="4" max="4" width="12.140625" customWidth="1"/>
    <col min="5" max="5" width="10.7109375" customWidth="1"/>
    <col min="6" max="6" width="9.5703125" customWidth="1"/>
    <col min="7" max="7" width="10.7109375" customWidth="1"/>
    <col min="8" max="8" width="10" bestFit="1" customWidth="1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t="s">
        <v>1</v>
      </c>
    </row>
    <row r="3" spans="1:14">
      <c r="B3" t="s">
        <v>2</v>
      </c>
      <c r="D3" t="s">
        <v>3</v>
      </c>
      <c r="E3" t="s">
        <v>4</v>
      </c>
      <c r="F3" t="s">
        <v>5</v>
      </c>
      <c r="G3" t="s">
        <v>6</v>
      </c>
    </row>
    <row r="4" spans="1:14">
      <c r="B4" t="s">
        <v>1</v>
      </c>
      <c r="D4">
        <v>412</v>
      </c>
      <c r="E4">
        <v>84</v>
      </c>
      <c r="F4">
        <v>47</v>
      </c>
      <c r="G4">
        <f>SUM(D4:F4)</f>
        <v>543</v>
      </c>
    </row>
    <row r="6" spans="1:14">
      <c r="A6" t="s">
        <v>7</v>
      </c>
    </row>
    <row r="7" spans="1:14">
      <c r="B7" t="s">
        <v>8</v>
      </c>
      <c r="D7">
        <v>1</v>
      </c>
      <c r="E7">
        <v>2</v>
      </c>
      <c r="F7">
        <v>3</v>
      </c>
      <c r="G7">
        <v>4</v>
      </c>
      <c r="H7">
        <v>5</v>
      </c>
      <c r="I7" t="s">
        <v>9</v>
      </c>
      <c r="J7" t="s">
        <v>10</v>
      </c>
      <c r="K7" t="s">
        <v>11</v>
      </c>
    </row>
    <row r="8" spans="1:14">
      <c r="B8" t="s">
        <v>12</v>
      </c>
      <c r="D8">
        <v>0</v>
      </c>
      <c r="E8">
        <v>1</v>
      </c>
      <c r="F8">
        <v>3</v>
      </c>
      <c r="G8">
        <v>3</v>
      </c>
      <c r="H8">
        <v>3</v>
      </c>
      <c r="I8">
        <v>103</v>
      </c>
      <c r="J8">
        <v>241</v>
      </c>
      <c r="K8">
        <v>189</v>
      </c>
    </row>
    <row r="10" spans="1:14">
      <c r="B10" t="s">
        <v>13</v>
      </c>
      <c r="C10">
        <v>8251</v>
      </c>
    </row>
    <row r="12" spans="1:14">
      <c r="B12" t="s">
        <v>14</v>
      </c>
      <c r="C12">
        <v>15</v>
      </c>
    </row>
    <row r="14" spans="1:14">
      <c r="B14" t="s">
        <v>15</v>
      </c>
      <c r="C14">
        <v>2</v>
      </c>
    </row>
    <row r="16" spans="1:14">
      <c r="B16" t="s">
        <v>16</v>
      </c>
      <c r="C16">
        <v>42</v>
      </c>
    </row>
    <row r="18" spans="1:8">
      <c r="A18" t="s">
        <v>17</v>
      </c>
    </row>
    <row r="19" spans="1:8">
      <c r="D19" t="s">
        <v>18</v>
      </c>
      <c r="E19" t="s">
        <v>19</v>
      </c>
      <c r="F19" t="s">
        <v>20</v>
      </c>
      <c r="G19" t="s">
        <v>6</v>
      </c>
    </row>
    <row r="21" spans="1:8">
      <c r="B21" t="s">
        <v>21</v>
      </c>
      <c r="D21">
        <v>437035372</v>
      </c>
      <c r="E21">
        <v>397018915</v>
      </c>
      <c r="F21">
        <v>28527</v>
      </c>
      <c r="G21">
        <f>SUM(D21:F21)</f>
        <v>834082814</v>
      </c>
      <c r="H21">
        <f>SUM(D21:F21)</f>
        <v>834082814</v>
      </c>
    </row>
    <row r="22" spans="1:8">
      <c r="B22" t="s">
        <v>22</v>
      </c>
      <c r="D22">
        <v>292826408</v>
      </c>
      <c r="E22">
        <v>260192272</v>
      </c>
      <c r="F22">
        <v>1968</v>
      </c>
      <c r="G22">
        <f>SUM(D22:F22)</f>
        <v>553020648</v>
      </c>
      <c r="H22" s="1">
        <f>SUM(D22:F22)</f>
        <v>553020648</v>
      </c>
    </row>
    <row r="23" spans="1:8">
      <c r="B23" t="s">
        <v>23</v>
      </c>
      <c r="D23" s="3">
        <f>D22 * 100 / D21</f>
        <v>67.002907947688954</v>
      </c>
      <c r="E23" s="3">
        <f>E22 * 100 / E21</f>
        <v>65.536492637888557</v>
      </c>
      <c r="F23" s="4">
        <f>F22 * 100 / F21</f>
        <v>6.8987275212956147</v>
      </c>
      <c r="G23" s="3">
        <f>G22 * 100 / G21</f>
        <v>66.302846518067696</v>
      </c>
    </row>
    <row r="25" spans="1:8">
      <c r="B25" t="s">
        <v>24</v>
      </c>
    </row>
    <row r="26" spans="1:8">
      <c r="C26" t="s">
        <v>18</v>
      </c>
      <c r="D26">
        <v>986384</v>
      </c>
    </row>
    <row r="27" spans="1:8">
      <c r="C27" t="s">
        <v>19</v>
      </c>
      <c r="D27">
        <v>379241</v>
      </c>
    </row>
    <row r="29" spans="1:8">
      <c r="B29" t="s">
        <v>25</v>
      </c>
      <c r="C29">
        <v>1154607</v>
      </c>
    </row>
    <row r="31" spans="1:8">
      <c r="B31" t="s">
        <v>26</v>
      </c>
      <c r="C31" s="3">
        <v>66.441274858829502</v>
      </c>
    </row>
    <row r="33" spans="1:3">
      <c r="A33" t="s">
        <v>27</v>
      </c>
    </row>
    <row r="34" spans="1:3">
      <c r="B34" t="s">
        <v>28</v>
      </c>
      <c r="C34">
        <v>546879221</v>
      </c>
    </row>
    <row r="35" spans="1:3">
      <c r="B35" t="s">
        <v>29</v>
      </c>
      <c r="C35">
        <v>920783</v>
      </c>
    </row>
    <row r="37" spans="1:3">
      <c r="A37" t="s">
        <v>30</v>
      </c>
    </row>
    <row r="38" spans="1:3">
      <c r="B38" t="s">
        <v>31</v>
      </c>
      <c r="C38">
        <v>5994418</v>
      </c>
    </row>
    <row r="39" spans="1:3">
      <c r="B39" t="s">
        <v>32</v>
      </c>
      <c r="C39">
        <v>8524</v>
      </c>
    </row>
    <row r="41" spans="1:3">
      <c r="A41" t="s">
        <v>33</v>
      </c>
    </row>
    <row r="42" spans="1:3">
      <c r="B42" t="s">
        <v>34</v>
      </c>
      <c r="C42">
        <v>225300</v>
      </c>
    </row>
    <row r="43" spans="1:3">
      <c r="B43" t="s">
        <v>35</v>
      </c>
      <c r="C43">
        <v>143573</v>
      </c>
    </row>
    <row r="44" spans="1:3">
      <c r="B44" t="s">
        <v>36</v>
      </c>
      <c r="C44">
        <v>3436</v>
      </c>
    </row>
    <row r="46" spans="1:3">
      <c r="B46" t="s">
        <v>37</v>
      </c>
      <c r="C46">
        <v>4497</v>
      </c>
    </row>
    <row r="48" spans="1:3">
      <c r="B48" t="s">
        <v>38</v>
      </c>
      <c r="C48">
        <v>173</v>
      </c>
    </row>
    <row r="50" spans="1:7">
      <c r="B50" t="s">
        <v>39</v>
      </c>
      <c r="C50">
        <v>927553</v>
      </c>
    </row>
    <row r="52" spans="1:7">
      <c r="B52" t="s">
        <v>40</v>
      </c>
      <c r="C52" s="4">
        <v>899.22927746446805</v>
      </c>
    </row>
    <row r="54" spans="1:7">
      <c r="B54" t="s">
        <v>41</v>
      </c>
      <c r="C54">
        <v>301</v>
      </c>
    </row>
    <row r="56" spans="1:7">
      <c r="A56" t="s">
        <v>42</v>
      </c>
    </row>
    <row r="57" spans="1:7">
      <c r="D57" t="s">
        <v>18</v>
      </c>
      <c r="E57" t="s">
        <v>19</v>
      </c>
      <c r="F57" t="s">
        <v>20</v>
      </c>
      <c r="G57" t="s">
        <v>6</v>
      </c>
    </row>
    <row r="58" spans="1:7">
      <c r="B58" t="s">
        <v>43</v>
      </c>
      <c r="D58">
        <v>7577</v>
      </c>
      <c r="E58">
        <v>668</v>
      </c>
      <c r="F58">
        <v>6</v>
      </c>
      <c r="G58">
        <f>SUM(D58:F58)</f>
        <v>8251</v>
      </c>
    </row>
    <row r="59" spans="1:7">
      <c r="B59" t="s">
        <v>44</v>
      </c>
      <c r="D59">
        <v>481</v>
      </c>
      <c r="E59">
        <v>62</v>
      </c>
      <c r="F59">
        <v>0</v>
      </c>
      <c r="G59">
        <f>SUM(D59:F59)</f>
        <v>543</v>
      </c>
    </row>
    <row r="60" spans="1:7">
      <c r="B60" t="s">
        <v>45</v>
      </c>
      <c r="D60">
        <v>6469</v>
      </c>
      <c r="E60">
        <v>525</v>
      </c>
      <c r="F60">
        <v>6</v>
      </c>
      <c r="G60">
        <f>SUM(D60:F60)</f>
        <v>7000</v>
      </c>
    </row>
  </sheetData>
  <mergeCells count="1">
    <mergeCell ref="A1:N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PCHighlisghts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2016-12-06T09:33:13Z</dcterms:created>
  <dcterms:modified xsi:type="dcterms:W3CDTF">2017-01-02T06:17:36Z</dcterms:modified>
</cp:coreProperties>
</file>