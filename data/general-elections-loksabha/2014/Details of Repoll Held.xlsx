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270" yWindow="600" windowWidth="19815" windowHeight="6855"/>
  </bookViews>
  <sheets>
    <sheet name="Re-poll" sheetId="2" r:id="rId1"/>
  </sheets>
  <calcPr calcId="125725"/>
</workbook>
</file>

<file path=xl/calcChain.xml><?xml version="1.0" encoding="utf-8"?>
<calcChain xmlns="http://schemas.openxmlformats.org/spreadsheetml/2006/main">
  <c r="E133" i="2"/>
  <c r="F127"/>
  <c r="E120"/>
  <c r="C117"/>
  <c r="D116"/>
  <c r="D117" s="1"/>
  <c r="C116"/>
  <c r="D103"/>
  <c r="C103"/>
  <c r="F92"/>
  <c r="F93" s="1"/>
  <c r="F90"/>
  <c r="F76"/>
  <c r="F75"/>
  <c r="F74"/>
  <c r="E59"/>
  <c r="F32"/>
  <c r="D21"/>
  <c r="D18"/>
  <c r="D14"/>
  <c r="E12"/>
  <c r="E146" s="1"/>
  <c r="D11"/>
  <c r="C11"/>
</calcChain>
</file>

<file path=xl/sharedStrings.xml><?xml version="1.0" encoding="utf-8"?>
<sst xmlns="http://schemas.openxmlformats.org/spreadsheetml/2006/main" count="263" uniqueCount="165">
  <si>
    <t>Andhra Pradesh</t>
  </si>
  <si>
    <t>Nizamabad</t>
  </si>
  <si>
    <t>Zahirabad</t>
  </si>
  <si>
    <t>Srikakulam</t>
  </si>
  <si>
    <t>Vijayawada</t>
  </si>
  <si>
    <t>Kadapa</t>
  </si>
  <si>
    <t>Arunachal Pradesh</t>
  </si>
  <si>
    <t>Assam</t>
  </si>
  <si>
    <t>Silchar</t>
  </si>
  <si>
    <t>Gauhati</t>
  </si>
  <si>
    <t>Mangaldoi</t>
  </si>
  <si>
    <t>Tezpur</t>
  </si>
  <si>
    <t>Nowgong</t>
  </si>
  <si>
    <t>Jorhat</t>
  </si>
  <si>
    <t>Dibrugarh</t>
  </si>
  <si>
    <t>Bihar</t>
  </si>
  <si>
    <t>Sitamarhi</t>
  </si>
  <si>
    <t>Jhanjharpur</t>
  </si>
  <si>
    <t>Supaul</t>
  </si>
  <si>
    <t>Katihar</t>
  </si>
  <si>
    <t>Vaishali</t>
  </si>
  <si>
    <t>Banka</t>
  </si>
  <si>
    <t>Munger</t>
  </si>
  <si>
    <t>Pataliputra</t>
  </si>
  <si>
    <t>Karakat</t>
  </si>
  <si>
    <t>Aurangabad</t>
  </si>
  <si>
    <t>Nawada</t>
  </si>
  <si>
    <t>Gujarat</t>
  </si>
  <si>
    <t>Porbandar</t>
  </si>
  <si>
    <t>Haryana</t>
  </si>
  <si>
    <t>Gurgaon</t>
  </si>
  <si>
    <t>Karnataka</t>
  </si>
  <si>
    <t>Bagalkot</t>
  </si>
  <si>
    <t>Bijapur</t>
  </si>
  <si>
    <t>Gulbarga</t>
  </si>
  <si>
    <t>Raichur</t>
  </si>
  <si>
    <t>Bidar</t>
  </si>
  <si>
    <t>Shimoga</t>
  </si>
  <si>
    <t>Hassan</t>
  </si>
  <si>
    <t>Tumkur</t>
  </si>
  <si>
    <t>Kerala</t>
  </si>
  <si>
    <t>Wayanad</t>
  </si>
  <si>
    <t>Ernakulam</t>
  </si>
  <si>
    <t>Idukki</t>
  </si>
  <si>
    <t>Madhya Pradesh</t>
  </si>
  <si>
    <t>Maharashtra</t>
  </si>
  <si>
    <t>Manipur</t>
  </si>
  <si>
    <t>Nagaland</t>
  </si>
  <si>
    <t>Bargarh</t>
  </si>
  <si>
    <t>Sambalpur</t>
  </si>
  <si>
    <t>Kandhamal</t>
  </si>
  <si>
    <t>Punjab</t>
  </si>
  <si>
    <t>Rajasthan</t>
  </si>
  <si>
    <t>Churu</t>
  </si>
  <si>
    <t>Barmer</t>
  </si>
  <si>
    <t>Tamil Nadu</t>
  </si>
  <si>
    <t>Salem</t>
  </si>
  <si>
    <t>Namakkal</t>
  </si>
  <si>
    <t>Uttar Pradesh</t>
  </si>
  <si>
    <t>Muzaffarnagar</t>
  </si>
  <si>
    <t>Rampur</t>
  </si>
  <si>
    <t>Firozabad</t>
  </si>
  <si>
    <t>Badaun</t>
  </si>
  <si>
    <t>Bhadohi</t>
  </si>
  <si>
    <t>West Bengal</t>
  </si>
  <si>
    <t>Darjeeling</t>
  </si>
  <si>
    <t>Maldaha Dakshin</t>
  </si>
  <si>
    <t>Barasat</t>
  </si>
  <si>
    <t>Basirhat</t>
  </si>
  <si>
    <t>Hooghly</t>
  </si>
  <si>
    <t>Jharkhand</t>
  </si>
  <si>
    <t>Dumka</t>
  </si>
  <si>
    <t>Kodarma</t>
  </si>
  <si>
    <t xml:space="preserve">16. Details of Re-poll held </t>
  </si>
  <si>
    <t>Name of State / UT</t>
  </si>
  <si>
    <t>Total No. of Polling Station in state</t>
  </si>
  <si>
    <t>No. of P.C.</t>
  </si>
  <si>
    <t xml:space="preserve"> Name of P.C.</t>
  </si>
  <si>
    <t>Total No. of Polling Station where repoll held</t>
  </si>
  <si>
    <t>Date of Re-Poll</t>
  </si>
  <si>
    <t xml:space="preserve">Aruku(ST) </t>
  </si>
  <si>
    <t>13/5/2014</t>
  </si>
  <si>
    <t>Machilipatnam</t>
  </si>
  <si>
    <t>15/5/2014</t>
  </si>
  <si>
    <t xml:space="preserve">Total </t>
  </si>
  <si>
    <t>Arunachal West</t>
  </si>
  <si>
    <t>19/4/2014</t>
  </si>
  <si>
    <t>14/5/2014</t>
  </si>
  <si>
    <t>27/4/2014</t>
  </si>
  <si>
    <t>28/4/2014</t>
  </si>
  <si>
    <t>Karimganj(SC)</t>
  </si>
  <si>
    <t>17/4/2014</t>
  </si>
  <si>
    <t>Kokrajhar(ST)</t>
  </si>
  <si>
    <t>13/4/2014</t>
  </si>
  <si>
    <t>Jamui(SC)</t>
  </si>
  <si>
    <t>21/4/2014</t>
  </si>
  <si>
    <t>Gaya(SC)</t>
  </si>
  <si>
    <t>Goa</t>
  </si>
  <si>
    <t>Nil</t>
  </si>
  <si>
    <t>15/4/2014</t>
  </si>
  <si>
    <t>Himachal Pradesh</t>
  </si>
  <si>
    <t>Jammu &amp; Kashmir</t>
  </si>
  <si>
    <t>29/4/2014</t>
  </si>
  <si>
    <t>Haveli</t>
  </si>
  <si>
    <t>Alathur(SC)</t>
  </si>
  <si>
    <t>23/4/2014</t>
  </si>
  <si>
    <t>23.4.2014</t>
  </si>
  <si>
    <t>Bhopal</t>
  </si>
  <si>
    <t>22/4/2014</t>
  </si>
  <si>
    <t>Gwalior</t>
  </si>
  <si>
    <t>Khandwa</t>
  </si>
  <si>
    <t>Rajgarh</t>
  </si>
  <si>
    <t>Sagar</t>
  </si>
  <si>
    <t>Shahdol(ST)</t>
  </si>
  <si>
    <t>Akola</t>
  </si>
  <si>
    <t>24/4/2014</t>
  </si>
  <si>
    <t>Mumbai North</t>
  </si>
  <si>
    <t>27/04/2014</t>
  </si>
  <si>
    <t xml:space="preserve">Mumbai North Central </t>
  </si>
  <si>
    <t>Ahmednagar</t>
  </si>
  <si>
    <t>Beed</t>
  </si>
  <si>
    <t>Inner Manipur</t>
  </si>
  <si>
    <t>22/04/2014</t>
  </si>
  <si>
    <t>Outer Manipur (ST)</t>
  </si>
  <si>
    <t>Meghalaya</t>
  </si>
  <si>
    <t>Mizoram</t>
  </si>
  <si>
    <t xml:space="preserve">Nagaland </t>
  </si>
  <si>
    <t>Orissa</t>
  </si>
  <si>
    <t>Jagatsinghpur(SC)</t>
  </si>
  <si>
    <t>Kendrapara</t>
  </si>
  <si>
    <t>25/4/2014</t>
  </si>
  <si>
    <t>Keonjhar(ST)</t>
  </si>
  <si>
    <t>Koraput(ST)</t>
  </si>
  <si>
    <t>Nabarangpur(ST)</t>
  </si>
  <si>
    <t xml:space="preserve">Patiala </t>
  </si>
  <si>
    <t>Tonk-Swai Madhopur</t>
  </si>
  <si>
    <t>Sikkim</t>
  </si>
  <si>
    <t>Telangana</t>
  </si>
  <si>
    <t>Karimnagar</t>
  </si>
  <si>
    <t>Tripura</t>
  </si>
  <si>
    <t>Agra(SC)</t>
  </si>
  <si>
    <t>Allhabad</t>
  </si>
  <si>
    <t>Etawah(SC)</t>
  </si>
  <si>
    <t>30/4/2014</t>
  </si>
  <si>
    <t>Arambagh(SC)</t>
  </si>
  <si>
    <t>Bardhaman Purba(SC)</t>
  </si>
  <si>
    <t>Bishnupur(SC)</t>
  </si>
  <si>
    <t>Bolpur(SC)</t>
  </si>
  <si>
    <t>Burdwan-Durgapur</t>
  </si>
  <si>
    <t>Jalpaiguri(SC)</t>
  </si>
  <si>
    <t>Joynagar(SC)</t>
  </si>
  <si>
    <t>27/5/2014</t>
  </si>
  <si>
    <t>Chattisgarh</t>
  </si>
  <si>
    <t>Bastar</t>
  </si>
  <si>
    <t>17/5/2014</t>
  </si>
  <si>
    <t>Uttarakhand</t>
  </si>
  <si>
    <t>Andaman &amp; Nicobar Island</t>
  </si>
  <si>
    <t>Chandigarh</t>
  </si>
  <si>
    <t>Dadra &amp; Nagar Haveli</t>
  </si>
  <si>
    <t>Daman &amp; Diu</t>
  </si>
  <si>
    <t>NCT OF Delhi</t>
  </si>
  <si>
    <t>Lakshadweep</t>
  </si>
  <si>
    <t>Pondicherry</t>
  </si>
  <si>
    <t>ALL INDIA</t>
  </si>
  <si>
    <t xml:space="preserve">Grand Total </t>
  </si>
</sst>
</file>

<file path=xl/styles.xml><?xml version="1.0" encoding="utf-8"?>
<styleSheet xmlns="http://schemas.openxmlformats.org/spreadsheetml/2006/main">
  <fonts count="5"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 applyBorder="0"/>
  </cellStyleXfs>
  <cellXfs count="40">
    <xf numFmtId="0" fontId="0" fillId="0" borderId="0" xfId="0" applyNumberFormat="1" applyFill="1" applyAlignment="1" applyProtection="1"/>
    <xf numFmtId="0" fontId="0" fillId="0" borderId="0" xfId="0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2" xfId="0" applyFont="1" applyBorder="1" applyAlignment="1">
      <alignment vertical="top" wrapText="1"/>
    </xf>
    <xf numFmtId="0" fontId="0" fillId="0" borderId="3" xfId="0" applyBorder="1"/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6" xfId="0" applyBorder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1" fillId="0" borderId="7" xfId="0" applyFont="1" applyBorder="1"/>
    <xf numFmtId="0" fontId="1" fillId="0" borderId="2" xfId="0" applyFont="1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11" xfId="0" applyBorder="1"/>
    <xf numFmtId="14" fontId="0" fillId="0" borderId="4" xfId="0" applyNumberFormat="1" applyBorder="1" applyAlignment="1">
      <alignment horizontal="center"/>
    </xf>
    <xf numFmtId="0" fontId="0" fillId="0" borderId="0" xfId="0" applyBorder="1"/>
    <xf numFmtId="14" fontId="0" fillId="0" borderId="6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14" fontId="0" fillId="0" borderId="0" xfId="0" applyNumberFormat="1" applyBorder="1" applyAlignment="1">
      <alignment horizontal="center"/>
    </xf>
    <xf numFmtId="0" fontId="1" fillId="0" borderId="11" xfId="0" applyFont="1" applyBorder="1"/>
    <xf numFmtId="0" fontId="1" fillId="0" borderId="10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0" xfId="0" applyBorder="1"/>
    <xf numFmtId="0" fontId="0" fillId="0" borderId="11" xfId="0" applyFill="1" applyBorder="1"/>
    <xf numFmtId="0" fontId="0" fillId="0" borderId="7" xfId="0" applyBorder="1"/>
    <xf numFmtId="0" fontId="0" fillId="0" borderId="2" xfId="0" applyBorder="1"/>
    <xf numFmtId="14" fontId="0" fillId="0" borderId="2" xfId="0" applyNumberFormat="1" applyBorder="1" applyAlignment="1">
      <alignment horizontal="center"/>
    </xf>
    <xf numFmtId="0" fontId="0" fillId="0" borderId="0" xfId="0" applyBorder="1" applyAlignment="1">
      <alignment wrapText="1"/>
    </xf>
    <xf numFmtId="14" fontId="0" fillId="0" borderId="10" xfId="0" applyNumberFormat="1" applyBorder="1" applyAlignment="1">
      <alignment horizontal="center"/>
    </xf>
    <xf numFmtId="0" fontId="1" fillId="0" borderId="2" xfId="0" applyFont="1" applyBorder="1"/>
    <xf numFmtId="0" fontId="2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2" fillId="0" borderId="15" xfId="0" applyFont="1" applyBorder="1"/>
    <xf numFmtId="0" fontId="2" fillId="0" borderId="1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G147"/>
  <sheetViews>
    <sheetView tabSelected="1" workbookViewId="0">
      <selection activeCell="H5" sqref="H5"/>
    </sheetView>
  </sheetViews>
  <sheetFormatPr defaultRowHeight="15"/>
  <cols>
    <col min="1" max="1" width="20.28515625" style="1" customWidth="1"/>
    <col min="2" max="2" width="14.140625" style="1" customWidth="1"/>
    <col min="3" max="3" width="9.7109375" style="1" customWidth="1"/>
    <col min="4" max="4" width="18.85546875" style="2" customWidth="1"/>
    <col min="5" max="5" width="15.85546875" style="1" customWidth="1"/>
    <col min="6" max="6" width="14.7109375" style="1" customWidth="1"/>
    <col min="7" max="16384" width="9.140625" style="2"/>
  </cols>
  <sheetData>
    <row r="3" spans="1:7" ht="17.25">
      <c r="A3" s="3" t="s">
        <v>73</v>
      </c>
      <c r="B3" s="3"/>
      <c r="C3" s="3"/>
      <c r="D3" s="3"/>
      <c r="E3" s="3"/>
      <c r="F3" s="3"/>
      <c r="G3" s="4"/>
    </row>
    <row r="4" spans="1:7">
      <c r="D4" s="1"/>
      <c r="G4" s="1"/>
    </row>
    <row r="5" spans="1:7" ht="60">
      <c r="A5" s="5" t="s">
        <v>74</v>
      </c>
      <c r="B5" s="6" t="s">
        <v>75</v>
      </c>
      <c r="C5" s="6" t="s">
        <v>76</v>
      </c>
      <c r="D5" s="7" t="s">
        <v>77</v>
      </c>
      <c r="E5" s="6" t="s">
        <v>78</v>
      </c>
      <c r="F5" s="6" t="s">
        <v>79</v>
      </c>
    </row>
    <row r="6" spans="1:7">
      <c r="A6" s="8" t="s">
        <v>0</v>
      </c>
      <c r="B6" s="9">
        <v>71225</v>
      </c>
      <c r="C6" s="9">
        <v>18</v>
      </c>
      <c r="D6" s="2" t="s">
        <v>80</v>
      </c>
      <c r="E6" s="9">
        <v>2</v>
      </c>
      <c r="F6" s="9" t="s">
        <v>81</v>
      </c>
    </row>
    <row r="7" spans="1:7">
      <c r="A7" s="10"/>
      <c r="B7" s="11"/>
      <c r="C7" s="11">
        <v>38</v>
      </c>
      <c r="D7" s="2" t="s">
        <v>5</v>
      </c>
      <c r="E7" s="11">
        <v>3</v>
      </c>
      <c r="F7" s="11" t="s">
        <v>81</v>
      </c>
    </row>
    <row r="8" spans="1:7">
      <c r="A8" s="10"/>
      <c r="B8" s="11"/>
      <c r="C8" s="11">
        <v>28</v>
      </c>
      <c r="D8" s="2" t="s">
        <v>82</v>
      </c>
      <c r="E8" s="11">
        <v>2</v>
      </c>
      <c r="F8" s="11" t="s">
        <v>81</v>
      </c>
    </row>
    <row r="9" spans="1:7">
      <c r="A9" s="10"/>
      <c r="B9" s="11"/>
      <c r="C9" s="11">
        <v>19</v>
      </c>
      <c r="D9" s="2" t="s">
        <v>3</v>
      </c>
      <c r="E9" s="11">
        <v>1</v>
      </c>
      <c r="F9" s="11" t="s">
        <v>81</v>
      </c>
    </row>
    <row r="10" spans="1:7">
      <c r="A10" s="10"/>
      <c r="B10" s="11"/>
      <c r="C10" s="11">
        <v>29</v>
      </c>
      <c r="D10" s="2" t="s">
        <v>4</v>
      </c>
      <c r="E10" s="11">
        <v>3</v>
      </c>
      <c r="F10" s="11" t="s">
        <v>81</v>
      </c>
    </row>
    <row r="11" spans="1:7">
      <c r="A11" s="10"/>
      <c r="B11" s="11"/>
      <c r="C11" s="11">
        <f>C10</f>
        <v>29</v>
      </c>
      <c r="D11" s="2" t="str">
        <f>D10</f>
        <v>Vijayawada</v>
      </c>
      <c r="E11" s="11">
        <v>1</v>
      </c>
      <c r="F11" s="11" t="s">
        <v>83</v>
      </c>
    </row>
    <row r="12" spans="1:7">
      <c r="A12" s="12"/>
      <c r="B12" s="13"/>
      <c r="C12" s="13"/>
      <c r="D12" s="14" t="s">
        <v>84</v>
      </c>
      <c r="E12" s="15">
        <f>SUM(E6:E11)</f>
        <v>12</v>
      </c>
      <c r="F12" s="13"/>
    </row>
    <row r="13" spans="1:7">
      <c r="A13" s="8" t="s">
        <v>6</v>
      </c>
      <c r="B13" s="9">
        <v>2158</v>
      </c>
      <c r="C13" s="9">
        <v>1</v>
      </c>
      <c r="D13" s="16" t="s">
        <v>85</v>
      </c>
      <c r="E13" s="9">
        <v>34</v>
      </c>
      <c r="F13" s="9" t="s">
        <v>86</v>
      </c>
    </row>
    <row r="14" spans="1:7">
      <c r="A14" s="17"/>
      <c r="B14" s="18"/>
      <c r="C14" s="18">
        <v>1</v>
      </c>
      <c r="D14" s="19" t="str">
        <f>D13</f>
        <v>Arunachal West</v>
      </c>
      <c r="E14" s="18">
        <v>1</v>
      </c>
      <c r="F14" s="18" t="s">
        <v>87</v>
      </c>
    </row>
    <row r="15" spans="1:7">
      <c r="A15" s="12"/>
      <c r="B15" s="13"/>
      <c r="C15" s="13"/>
      <c r="D15" s="14" t="s">
        <v>84</v>
      </c>
      <c r="E15" s="15">
        <v>35</v>
      </c>
      <c r="F15" s="13"/>
    </row>
    <row r="16" spans="1:7">
      <c r="A16" s="8" t="s">
        <v>7</v>
      </c>
      <c r="B16" s="9">
        <v>24280</v>
      </c>
      <c r="C16" s="9">
        <v>13</v>
      </c>
      <c r="D16" s="16" t="s">
        <v>14</v>
      </c>
      <c r="E16" s="9">
        <v>1</v>
      </c>
      <c r="F16" s="20">
        <v>41916</v>
      </c>
    </row>
    <row r="17" spans="1:7">
      <c r="A17" s="10"/>
      <c r="B17" s="11"/>
      <c r="C17" s="11">
        <v>7</v>
      </c>
      <c r="D17" s="21" t="s">
        <v>9</v>
      </c>
      <c r="E17" s="11">
        <v>3</v>
      </c>
      <c r="F17" s="11" t="s">
        <v>88</v>
      </c>
    </row>
    <row r="18" spans="1:7">
      <c r="A18" s="10"/>
      <c r="B18" s="11"/>
      <c r="C18" s="11">
        <v>7</v>
      </c>
      <c r="D18" s="21" t="str">
        <f>D17</f>
        <v>Gauhati</v>
      </c>
      <c r="E18" s="11">
        <v>1</v>
      </c>
      <c r="F18" s="11" t="s">
        <v>89</v>
      </c>
    </row>
    <row r="19" spans="1:7">
      <c r="A19" s="10"/>
      <c r="B19" s="11"/>
      <c r="C19" s="11">
        <v>12</v>
      </c>
      <c r="D19" s="21" t="s">
        <v>13</v>
      </c>
      <c r="E19" s="11">
        <v>4</v>
      </c>
      <c r="F19" s="22">
        <v>41916</v>
      </c>
    </row>
    <row r="20" spans="1:7">
      <c r="A20" s="10"/>
      <c r="B20" s="11"/>
      <c r="C20" s="11">
        <v>1</v>
      </c>
      <c r="D20" s="21" t="s">
        <v>90</v>
      </c>
      <c r="E20" s="11">
        <v>7</v>
      </c>
      <c r="F20" s="11" t="s">
        <v>91</v>
      </c>
    </row>
    <row r="21" spans="1:7">
      <c r="A21" s="10"/>
      <c r="B21" s="11"/>
      <c r="C21" s="11">
        <v>1</v>
      </c>
      <c r="D21" s="21" t="str">
        <f>D20</f>
        <v>Karimganj(SC)</v>
      </c>
      <c r="E21" s="11">
        <v>3</v>
      </c>
      <c r="F21" s="22">
        <v>41825</v>
      </c>
    </row>
    <row r="22" spans="1:7">
      <c r="A22" s="10"/>
      <c r="B22" s="11"/>
      <c r="C22" s="11">
        <v>5</v>
      </c>
      <c r="D22" s="21" t="s">
        <v>92</v>
      </c>
      <c r="E22" s="11">
        <v>9</v>
      </c>
      <c r="F22" s="11" t="s">
        <v>88</v>
      </c>
    </row>
    <row r="23" spans="1:7">
      <c r="A23" s="10"/>
      <c r="B23" s="11"/>
      <c r="C23" s="11">
        <v>8</v>
      </c>
      <c r="D23" s="21" t="s">
        <v>10</v>
      </c>
      <c r="E23" s="11">
        <v>1</v>
      </c>
      <c r="F23" s="11" t="s">
        <v>88</v>
      </c>
    </row>
    <row r="24" spans="1:7">
      <c r="A24" s="10"/>
      <c r="B24" s="11"/>
      <c r="C24" s="11">
        <v>10</v>
      </c>
      <c r="D24" s="21" t="s">
        <v>12</v>
      </c>
      <c r="E24" s="11">
        <v>2</v>
      </c>
      <c r="F24" s="11" t="s">
        <v>88</v>
      </c>
    </row>
    <row r="25" spans="1:7">
      <c r="A25" s="10"/>
      <c r="B25" s="11"/>
      <c r="C25" s="11">
        <v>2</v>
      </c>
      <c r="D25" s="21" t="s">
        <v>8</v>
      </c>
      <c r="E25" s="11">
        <v>2</v>
      </c>
      <c r="F25" s="11" t="s">
        <v>91</v>
      </c>
    </row>
    <row r="26" spans="1:7">
      <c r="A26" s="10"/>
      <c r="B26" s="23"/>
      <c r="C26" s="11">
        <v>9</v>
      </c>
      <c r="D26" s="21" t="s">
        <v>11</v>
      </c>
      <c r="E26" s="11">
        <v>1</v>
      </c>
      <c r="F26" s="24">
        <v>41916</v>
      </c>
      <c r="G26" s="10"/>
    </row>
    <row r="27" spans="1:7">
      <c r="A27" s="12"/>
      <c r="B27" s="13"/>
      <c r="C27" s="18"/>
      <c r="D27" s="25" t="s">
        <v>84</v>
      </c>
      <c r="E27" s="26">
        <v>34</v>
      </c>
      <c r="F27" s="18"/>
    </row>
    <row r="28" spans="1:7">
      <c r="A28" s="8" t="s">
        <v>15</v>
      </c>
      <c r="B28" s="9">
        <v>61721</v>
      </c>
      <c r="C28" s="9">
        <v>37</v>
      </c>
      <c r="D28" s="16" t="s">
        <v>25</v>
      </c>
      <c r="E28" s="9">
        <v>4</v>
      </c>
      <c r="F28" s="9" t="s">
        <v>93</v>
      </c>
    </row>
    <row r="29" spans="1:7">
      <c r="A29" s="10"/>
      <c r="B29" s="11"/>
      <c r="C29" s="11">
        <v>27</v>
      </c>
      <c r="D29" s="21" t="s">
        <v>21</v>
      </c>
      <c r="E29" s="11">
        <v>2</v>
      </c>
      <c r="F29" s="11" t="s">
        <v>88</v>
      </c>
    </row>
    <row r="30" spans="1:7">
      <c r="A30" s="10"/>
      <c r="B30" s="11"/>
      <c r="C30" s="11">
        <v>40</v>
      </c>
      <c r="D30" s="21" t="s">
        <v>94</v>
      </c>
      <c r="E30" s="11">
        <v>19</v>
      </c>
      <c r="F30" s="11" t="s">
        <v>93</v>
      </c>
    </row>
    <row r="31" spans="1:7">
      <c r="A31" s="10"/>
      <c r="B31" s="11"/>
      <c r="C31" s="11">
        <v>7</v>
      </c>
      <c r="D31" s="21" t="s">
        <v>17</v>
      </c>
      <c r="E31" s="11">
        <v>1</v>
      </c>
      <c r="F31" s="22">
        <v>41703</v>
      </c>
    </row>
    <row r="32" spans="1:7">
      <c r="A32" s="10"/>
      <c r="B32" s="11"/>
      <c r="C32" s="11">
        <v>35</v>
      </c>
      <c r="D32" s="21" t="s">
        <v>24</v>
      </c>
      <c r="E32" s="11">
        <v>3</v>
      </c>
      <c r="F32" s="11" t="str">
        <f>F30</f>
        <v>13/4/2014</v>
      </c>
    </row>
    <row r="33" spans="1:6">
      <c r="A33" s="10"/>
      <c r="B33" s="11"/>
      <c r="C33" s="11">
        <v>11</v>
      </c>
      <c r="D33" s="21" t="s">
        <v>19</v>
      </c>
      <c r="E33" s="11">
        <v>1</v>
      </c>
      <c r="F33" s="11" t="s">
        <v>88</v>
      </c>
    </row>
    <row r="34" spans="1:6">
      <c r="A34" s="10"/>
      <c r="B34" s="11"/>
      <c r="C34" s="11">
        <v>28</v>
      </c>
      <c r="D34" s="21" t="s">
        <v>22</v>
      </c>
      <c r="E34" s="11">
        <v>8</v>
      </c>
      <c r="F34" s="11" t="s">
        <v>95</v>
      </c>
    </row>
    <row r="35" spans="1:6">
      <c r="A35" s="10"/>
      <c r="B35" s="11"/>
      <c r="C35" s="11">
        <v>39</v>
      </c>
      <c r="D35" s="21" t="s">
        <v>26</v>
      </c>
      <c r="E35" s="11">
        <v>4</v>
      </c>
      <c r="F35" s="11" t="s">
        <v>93</v>
      </c>
    </row>
    <row r="36" spans="1:6">
      <c r="A36" s="10"/>
      <c r="B36" s="11"/>
      <c r="C36" s="11">
        <v>31</v>
      </c>
      <c r="D36" s="21" t="s">
        <v>23</v>
      </c>
      <c r="E36" s="11">
        <v>13</v>
      </c>
      <c r="F36" s="11" t="s">
        <v>95</v>
      </c>
    </row>
    <row r="37" spans="1:6">
      <c r="A37" s="10"/>
      <c r="B37" s="11"/>
      <c r="C37" s="11">
        <v>5</v>
      </c>
      <c r="D37" s="21" t="s">
        <v>16</v>
      </c>
      <c r="E37" s="11">
        <v>2</v>
      </c>
      <c r="F37" s="22">
        <v>41948</v>
      </c>
    </row>
    <row r="38" spans="1:6">
      <c r="A38" s="10"/>
      <c r="B38" s="11"/>
      <c r="C38" s="11">
        <v>8</v>
      </c>
      <c r="D38" s="21" t="s">
        <v>18</v>
      </c>
      <c r="E38" s="11">
        <v>2</v>
      </c>
      <c r="F38" s="11" t="s">
        <v>88</v>
      </c>
    </row>
    <row r="39" spans="1:6">
      <c r="A39" s="21"/>
      <c r="B39" s="11"/>
      <c r="C39" s="27">
        <v>16</v>
      </c>
      <c r="D39" s="19" t="s">
        <v>20</v>
      </c>
      <c r="E39" s="18">
        <v>5</v>
      </c>
      <c r="F39" s="18" t="s">
        <v>83</v>
      </c>
    </row>
    <row r="40" spans="1:6">
      <c r="A40" s="28"/>
      <c r="B40" s="18"/>
      <c r="C40" s="18">
        <v>38</v>
      </c>
      <c r="D40" s="29" t="s">
        <v>96</v>
      </c>
      <c r="E40" s="18">
        <v>2</v>
      </c>
      <c r="F40" s="13" t="s">
        <v>93</v>
      </c>
    </row>
    <row r="41" spans="1:6">
      <c r="A41" s="12"/>
      <c r="B41" s="13"/>
      <c r="C41" s="13"/>
      <c r="D41" s="14" t="s">
        <v>84</v>
      </c>
      <c r="E41" s="15">
        <v>66</v>
      </c>
      <c r="F41" s="13"/>
    </row>
    <row r="42" spans="1:6">
      <c r="A42" s="12" t="s">
        <v>97</v>
      </c>
      <c r="B42" s="13"/>
      <c r="C42" s="13" t="s">
        <v>98</v>
      </c>
      <c r="D42" s="30"/>
      <c r="E42" s="13"/>
      <c r="F42" s="13"/>
    </row>
    <row r="43" spans="1:6">
      <c r="A43" s="31" t="s">
        <v>27</v>
      </c>
      <c r="B43" s="13">
        <v>45383</v>
      </c>
      <c r="C43" s="13">
        <v>11</v>
      </c>
      <c r="D43" s="31" t="s">
        <v>28</v>
      </c>
      <c r="E43" s="13">
        <v>4</v>
      </c>
      <c r="F43" s="32">
        <v>41703</v>
      </c>
    </row>
    <row r="44" spans="1:6">
      <c r="A44" s="31" t="s">
        <v>29</v>
      </c>
      <c r="B44" s="13">
        <v>16244</v>
      </c>
      <c r="C44" s="13">
        <v>9</v>
      </c>
      <c r="D44" s="31" t="s">
        <v>30</v>
      </c>
      <c r="E44" s="13">
        <v>8</v>
      </c>
      <c r="F44" s="13" t="s">
        <v>99</v>
      </c>
    </row>
    <row r="45" spans="1:6">
      <c r="A45" s="31" t="s">
        <v>100</v>
      </c>
      <c r="B45" s="13"/>
      <c r="C45" s="13" t="s">
        <v>98</v>
      </c>
      <c r="D45" s="31"/>
      <c r="E45" s="13"/>
      <c r="F45" s="13"/>
    </row>
    <row r="46" spans="1:6">
      <c r="A46" s="31" t="s">
        <v>101</v>
      </c>
      <c r="B46" s="13"/>
      <c r="C46" s="13" t="s">
        <v>98</v>
      </c>
      <c r="D46" s="31"/>
      <c r="E46" s="13"/>
      <c r="F46" s="13"/>
    </row>
    <row r="47" spans="1:6">
      <c r="A47" s="8" t="s">
        <v>31</v>
      </c>
      <c r="B47" s="9">
        <v>54264</v>
      </c>
      <c r="C47" s="9">
        <v>3</v>
      </c>
      <c r="D47" s="16" t="s">
        <v>32</v>
      </c>
      <c r="E47" s="9">
        <v>1</v>
      </c>
      <c r="F47" s="9" t="s">
        <v>102</v>
      </c>
    </row>
    <row r="48" spans="1:6">
      <c r="A48" s="10"/>
      <c r="B48" s="11"/>
      <c r="C48" s="11">
        <v>3</v>
      </c>
      <c r="D48" s="21" t="s">
        <v>32</v>
      </c>
      <c r="E48" s="11">
        <v>1</v>
      </c>
      <c r="F48" s="11" t="s">
        <v>102</v>
      </c>
    </row>
    <row r="49" spans="1:6">
      <c r="A49" s="10"/>
      <c r="B49" s="11"/>
      <c r="C49" s="11">
        <v>7</v>
      </c>
      <c r="D49" s="21" t="s">
        <v>36</v>
      </c>
      <c r="E49" s="11">
        <v>1</v>
      </c>
      <c r="F49" s="11" t="s">
        <v>102</v>
      </c>
    </row>
    <row r="50" spans="1:6">
      <c r="A50" s="10"/>
      <c r="B50" s="11"/>
      <c r="C50" s="11">
        <v>7</v>
      </c>
      <c r="D50" s="21" t="s">
        <v>36</v>
      </c>
      <c r="E50" s="11">
        <v>1</v>
      </c>
      <c r="F50" s="11" t="s">
        <v>102</v>
      </c>
    </row>
    <row r="51" spans="1:6">
      <c r="A51" s="10"/>
      <c r="B51" s="11"/>
      <c r="C51" s="11">
        <v>4</v>
      </c>
      <c r="D51" s="21" t="s">
        <v>33</v>
      </c>
      <c r="E51" s="11">
        <v>1</v>
      </c>
      <c r="F51" s="11" t="s">
        <v>102</v>
      </c>
    </row>
    <row r="52" spans="1:6">
      <c r="A52" s="10"/>
      <c r="B52" s="11"/>
      <c r="C52" s="11">
        <v>5</v>
      </c>
      <c r="D52" s="21" t="s">
        <v>34</v>
      </c>
      <c r="E52" s="11">
        <v>1</v>
      </c>
      <c r="F52" s="11" t="s">
        <v>102</v>
      </c>
    </row>
    <row r="53" spans="1:6">
      <c r="A53" s="10"/>
      <c r="B53" s="11"/>
      <c r="C53" s="11">
        <v>16</v>
      </c>
      <c r="D53" s="21" t="s">
        <v>38</v>
      </c>
      <c r="E53" s="11">
        <v>1</v>
      </c>
      <c r="F53" s="11" t="s">
        <v>102</v>
      </c>
    </row>
    <row r="54" spans="1:6">
      <c r="A54" s="10"/>
      <c r="B54" s="11"/>
      <c r="C54" s="11">
        <v>10</v>
      </c>
      <c r="D54" s="21" t="s">
        <v>103</v>
      </c>
      <c r="E54" s="11">
        <v>1</v>
      </c>
      <c r="F54" s="11" t="s">
        <v>102</v>
      </c>
    </row>
    <row r="55" spans="1:6">
      <c r="A55" s="10"/>
      <c r="B55" s="11"/>
      <c r="C55" s="11">
        <v>6</v>
      </c>
      <c r="D55" s="21" t="s">
        <v>35</v>
      </c>
      <c r="E55" s="11">
        <v>1</v>
      </c>
      <c r="F55" s="11" t="s">
        <v>102</v>
      </c>
    </row>
    <row r="56" spans="1:6">
      <c r="A56" s="10"/>
      <c r="B56" s="11"/>
      <c r="C56" s="11">
        <v>6</v>
      </c>
      <c r="D56" s="21" t="s">
        <v>35</v>
      </c>
      <c r="E56" s="11">
        <v>1</v>
      </c>
      <c r="F56" s="11" t="s">
        <v>102</v>
      </c>
    </row>
    <row r="57" spans="1:6">
      <c r="A57" s="10"/>
      <c r="B57" s="11"/>
      <c r="C57" s="11">
        <v>14</v>
      </c>
      <c r="D57" s="21" t="s">
        <v>37</v>
      </c>
      <c r="E57" s="11">
        <v>1</v>
      </c>
      <c r="F57" s="11" t="s">
        <v>102</v>
      </c>
    </row>
    <row r="58" spans="1:6">
      <c r="A58" s="17"/>
      <c r="B58" s="18"/>
      <c r="C58" s="18">
        <v>19</v>
      </c>
      <c r="D58" s="19" t="s">
        <v>39</v>
      </c>
      <c r="E58" s="18">
        <v>1</v>
      </c>
      <c r="F58" s="18" t="s">
        <v>102</v>
      </c>
    </row>
    <row r="59" spans="1:6">
      <c r="A59" s="12"/>
      <c r="B59" s="13"/>
      <c r="C59" s="15"/>
      <c r="D59" s="14" t="s">
        <v>84</v>
      </c>
      <c r="E59" s="15">
        <f>SUM(E47:E58)</f>
        <v>12</v>
      </c>
      <c r="F59" s="13"/>
    </row>
    <row r="60" spans="1:6">
      <c r="A60" s="8" t="s">
        <v>40</v>
      </c>
      <c r="B60" s="9">
        <v>21427</v>
      </c>
      <c r="C60" s="9">
        <v>9</v>
      </c>
      <c r="D60" s="16" t="s">
        <v>104</v>
      </c>
      <c r="E60" s="9">
        <v>1</v>
      </c>
      <c r="F60" s="9" t="s">
        <v>105</v>
      </c>
    </row>
    <row r="61" spans="1:6">
      <c r="A61" s="10"/>
      <c r="B61" s="11"/>
      <c r="C61" s="11">
        <v>12</v>
      </c>
      <c r="D61" s="21" t="s">
        <v>42</v>
      </c>
      <c r="E61" s="11">
        <v>1</v>
      </c>
      <c r="F61" s="11" t="s">
        <v>105</v>
      </c>
    </row>
    <row r="62" spans="1:6">
      <c r="A62" s="10"/>
      <c r="B62" s="11"/>
      <c r="C62" s="11">
        <v>13</v>
      </c>
      <c r="D62" s="21" t="s">
        <v>43</v>
      </c>
      <c r="E62" s="11">
        <v>1</v>
      </c>
      <c r="F62" s="11" t="s">
        <v>93</v>
      </c>
    </row>
    <row r="63" spans="1:6">
      <c r="A63" s="17"/>
      <c r="B63" s="18"/>
      <c r="C63" s="18">
        <v>4</v>
      </c>
      <c r="D63" s="19" t="s">
        <v>41</v>
      </c>
      <c r="E63" s="18">
        <v>1</v>
      </c>
      <c r="F63" s="18" t="s">
        <v>106</v>
      </c>
    </row>
    <row r="64" spans="1:6">
      <c r="A64" s="12"/>
      <c r="B64" s="13"/>
      <c r="C64" s="13"/>
      <c r="D64" s="14" t="s">
        <v>84</v>
      </c>
      <c r="E64" s="15">
        <v>4</v>
      </c>
      <c r="F64" s="13"/>
    </row>
    <row r="65" spans="1:6">
      <c r="A65" s="8" t="s">
        <v>44</v>
      </c>
      <c r="B65" s="9">
        <v>54844</v>
      </c>
      <c r="C65" s="9">
        <v>19</v>
      </c>
      <c r="D65" s="16" t="s">
        <v>107</v>
      </c>
      <c r="E65" s="9">
        <v>2</v>
      </c>
      <c r="F65" s="9" t="s">
        <v>108</v>
      </c>
    </row>
    <row r="66" spans="1:6">
      <c r="A66" s="10"/>
      <c r="B66" s="11"/>
      <c r="C66" s="11">
        <v>3</v>
      </c>
      <c r="D66" s="21" t="s">
        <v>109</v>
      </c>
      <c r="E66" s="11">
        <v>1</v>
      </c>
      <c r="F66" s="11" t="s">
        <v>108</v>
      </c>
    </row>
    <row r="67" spans="1:6">
      <c r="A67" s="10"/>
      <c r="B67" s="11"/>
      <c r="C67" s="11">
        <v>28</v>
      </c>
      <c r="D67" s="21" t="s">
        <v>110</v>
      </c>
      <c r="E67" s="11">
        <v>1</v>
      </c>
      <c r="F67" s="11" t="s">
        <v>89</v>
      </c>
    </row>
    <row r="68" spans="1:6">
      <c r="A68" s="10"/>
      <c r="B68" s="11"/>
      <c r="C68" s="11">
        <v>20</v>
      </c>
      <c r="D68" s="21" t="s">
        <v>111</v>
      </c>
      <c r="E68" s="11">
        <v>1</v>
      </c>
      <c r="F68" s="11" t="s">
        <v>108</v>
      </c>
    </row>
    <row r="69" spans="1:6">
      <c r="A69" s="10"/>
      <c r="B69" s="11"/>
      <c r="C69" s="11">
        <v>5</v>
      </c>
      <c r="D69" s="21" t="s">
        <v>112</v>
      </c>
      <c r="E69" s="11">
        <v>2</v>
      </c>
      <c r="F69" s="11" t="s">
        <v>108</v>
      </c>
    </row>
    <row r="70" spans="1:6">
      <c r="A70" s="17"/>
      <c r="B70" s="18"/>
      <c r="C70" s="18">
        <v>12</v>
      </c>
      <c r="D70" s="19" t="s">
        <v>113</v>
      </c>
      <c r="E70" s="18">
        <v>3</v>
      </c>
      <c r="F70" s="18" t="s">
        <v>99</v>
      </c>
    </row>
    <row r="71" spans="1:6">
      <c r="A71" s="12"/>
      <c r="B71" s="13"/>
      <c r="C71" s="13"/>
      <c r="D71" s="14" t="s">
        <v>84</v>
      </c>
      <c r="E71" s="15">
        <v>10</v>
      </c>
      <c r="F71" s="13"/>
    </row>
    <row r="72" spans="1:6">
      <c r="A72" s="8" t="s">
        <v>45</v>
      </c>
      <c r="B72" s="9">
        <v>90386</v>
      </c>
      <c r="C72" s="9">
        <v>6</v>
      </c>
      <c r="D72" s="16" t="s">
        <v>114</v>
      </c>
      <c r="E72" s="9">
        <v>1</v>
      </c>
      <c r="F72" s="9" t="s">
        <v>115</v>
      </c>
    </row>
    <row r="73" spans="1:6">
      <c r="A73" s="10"/>
      <c r="B73" s="11"/>
      <c r="C73" s="11">
        <v>26</v>
      </c>
      <c r="D73" s="21" t="s">
        <v>116</v>
      </c>
      <c r="E73" s="11">
        <v>2</v>
      </c>
      <c r="F73" s="11" t="s">
        <v>117</v>
      </c>
    </row>
    <row r="74" spans="1:6" ht="30">
      <c r="A74" s="10"/>
      <c r="B74" s="11"/>
      <c r="C74" s="11">
        <v>29</v>
      </c>
      <c r="D74" s="33" t="s">
        <v>118</v>
      </c>
      <c r="E74" s="11">
        <v>1</v>
      </c>
      <c r="F74" s="11" t="str">
        <f>F73</f>
        <v>27/04/2014</v>
      </c>
    </row>
    <row r="75" spans="1:6">
      <c r="A75" s="10"/>
      <c r="B75" s="11"/>
      <c r="C75" s="11">
        <v>37</v>
      </c>
      <c r="D75" s="21" t="s">
        <v>119</v>
      </c>
      <c r="E75" s="11">
        <v>1</v>
      </c>
      <c r="F75" s="11" t="str">
        <f>F74</f>
        <v>27/04/2014</v>
      </c>
    </row>
    <row r="76" spans="1:6">
      <c r="A76" s="17"/>
      <c r="B76" s="18"/>
      <c r="C76" s="18">
        <v>39</v>
      </c>
      <c r="D76" s="19" t="s">
        <v>120</v>
      </c>
      <c r="E76" s="18">
        <v>1</v>
      </c>
      <c r="F76" s="18" t="str">
        <f>F72</f>
        <v>24/4/2014</v>
      </c>
    </row>
    <row r="77" spans="1:6">
      <c r="A77" s="12"/>
      <c r="B77" s="13"/>
      <c r="C77" s="13"/>
      <c r="D77" s="14" t="s">
        <v>84</v>
      </c>
      <c r="E77" s="15">
        <v>6</v>
      </c>
      <c r="F77" s="13"/>
    </row>
    <row r="78" spans="1:6">
      <c r="A78" s="8" t="s">
        <v>46</v>
      </c>
      <c r="B78" s="9">
        <v>2662</v>
      </c>
      <c r="C78" s="9">
        <v>1</v>
      </c>
      <c r="D78" s="16" t="s">
        <v>121</v>
      </c>
      <c r="E78" s="9">
        <v>1</v>
      </c>
      <c r="F78" s="9" t="s">
        <v>122</v>
      </c>
    </row>
    <row r="79" spans="1:6">
      <c r="A79" s="17"/>
      <c r="B79" s="18"/>
      <c r="C79" s="18">
        <v>2</v>
      </c>
      <c r="D79" s="19" t="s">
        <v>123</v>
      </c>
      <c r="E79" s="18">
        <v>6</v>
      </c>
      <c r="F79" s="34">
        <v>41977</v>
      </c>
    </row>
    <row r="80" spans="1:6">
      <c r="A80" s="31"/>
      <c r="B80" s="13"/>
      <c r="C80" s="13"/>
      <c r="D80" s="35" t="s">
        <v>84</v>
      </c>
      <c r="E80" s="15">
        <v>7</v>
      </c>
      <c r="F80" s="32"/>
    </row>
    <row r="81" spans="1:6">
      <c r="A81" s="31" t="s">
        <v>124</v>
      </c>
      <c r="B81" s="13"/>
      <c r="C81" s="13" t="s">
        <v>98</v>
      </c>
      <c r="D81" s="31"/>
      <c r="E81" s="13"/>
      <c r="F81" s="13"/>
    </row>
    <row r="82" spans="1:6">
      <c r="A82" s="31" t="s">
        <v>125</v>
      </c>
      <c r="B82" s="13"/>
      <c r="C82" s="13" t="s">
        <v>98</v>
      </c>
      <c r="D82" s="31"/>
      <c r="E82" s="13"/>
      <c r="F82" s="13"/>
    </row>
    <row r="83" spans="1:6">
      <c r="A83" s="8" t="s">
        <v>47</v>
      </c>
      <c r="B83" s="9">
        <v>2059</v>
      </c>
      <c r="C83" s="9">
        <v>1</v>
      </c>
      <c r="D83" s="16" t="s">
        <v>126</v>
      </c>
      <c r="E83" s="9">
        <v>2</v>
      </c>
      <c r="F83" s="20">
        <v>41917</v>
      </c>
    </row>
    <row r="84" spans="1:6">
      <c r="A84" s="17"/>
      <c r="B84" s="18"/>
      <c r="C84" s="18">
        <v>1</v>
      </c>
      <c r="D84" s="19" t="s">
        <v>126</v>
      </c>
      <c r="E84" s="18">
        <v>5</v>
      </c>
      <c r="F84" s="34" t="s">
        <v>83</v>
      </c>
    </row>
    <row r="85" spans="1:6">
      <c r="A85" s="12"/>
      <c r="B85" s="13"/>
      <c r="C85" s="13"/>
      <c r="D85" s="14" t="s">
        <v>84</v>
      </c>
      <c r="E85" s="15">
        <v>7</v>
      </c>
      <c r="F85" s="32"/>
    </row>
    <row r="86" spans="1:6">
      <c r="A86" s="8" t="s">
        <v>127</v>
      </c>
      <c r="B86" s="9">
        <v>35929</v>
      </c>
      <c r="C86" s="9">
        <v>1</v>
      </c>
      <c r="D86" s="16" t="s">
        <v>48</v>
      </c>
      <c r="E86" s="9">
        <v>2</v>
      </c>
      <c r="F86" s="9" t="s">
        <v>91</v>
      </c>
    </row>
    <row r="87" spans="1:6">
      <c r="A87" s="10"/>
      <c r="B87" s="11"/>
      <c r="C87" s="11">
        <v>16</v>
      </c>
      <c r="D87" s="21" t="s">
        <v>128</v>
      </c>
      <c r="E87" s="11">
        <v>6</v>
      </c>
      <c r="F87" s="11" t="s">
        <v>108</v>
      </c>
    </row>
    <row r="88" spans="1:6">
      <c r="A88" s="10"/>
      <c r="B88" s="11"/>
      <c r="C88" s="11">
        <v>13</v>
      </c>
      <c r="D88" s="21" t="s">
        <v>50</v>
      </c>
      <c r="E88" s="11">
        <v>2</v>
      </c>
      <c r="F88" s="11" t="s">
        <v>91</v>
      </c>
    </row>
    <row r="89" spans="1:6">
      <c r="A89" s="10"/>
      <c r="B89" s="11"/>
      <c r="C89" s="11">
        <v>15</v>
      </c>
      <c r="D89" s="21" t="s">
        <v>129</v>
      </c>
      <c r="E89" s="11">
        <v>1</v>
      </c>
      <c r="F89" s="11" t="s">
        <v>130</v>
      </c>
    </row>
    <row r="90" spans="1:6">
      <c r="A90" s="10"/>
      <c r="B90" s="11"/>
      <c r="C90" s="11">
        <v>4</v>
      </c>
      <c r="D90" s="21" t="s">
        <v>131</v>
      </c>
      <c r="E90" s="11">
        <v>2</v>
      </c>
      <c r="F90" s="11" t="str">
        <f>F89</f>
        <v>25/4/2014</v>
      </c>
    </row>
    <row r="91" spans="1:6">
      <c r="A91" s="10"/>
      <c r="B91" s="11"/>
      <c r="C91" s="11">
        <v>21</v>
      </c>
      <c r="D91" s="21" t="s">
        <v>132</v>
      </c>
      <c r="E91" s="11">
        <v>2</v>
      </c>
      <c r="F91" s="11" t="s">
        <v>91</v>
      </c>
    </row>
    <row r="92" spans="1:6">
      <c r="A92" s="10"/>
      <c r="B92" s="11"/>
      <c r="C92" s="11">
        <v>12</v>
      </c>
      <c r="D92" s="21" t="s">
        <v>133</v>
      </c>
      <c r="E92" s="11">
        <v>16</v>
      </c>
      <c r="F92" s="11" t="str">
        <f>F91</f>
        <v>17/4/2014</v>
      </c>
    </row>
    <row r="93" spans="1:6">
      <c r="A93" s="17"/>
      <c r="B93" s="18"/>
      <c r="C93" s="18">
        <v>3</v>
      </c>
      <c r="D93" s="19" t="s">
        <v>49</v>
      </c>
      <c r="E93" s="18">
        <v>1</v>
      </c>
      <c r="F93" s="18" t="str">
        <f>F92</f>
        <v>17/4/2014</v>
      </c>
    </row>
    <row r="94" spans="1:6">
      <c r="A94" s="12"/>
      <c r="B94" s="13"/>
      <c r="C94" s="13"/>
      <c r="D94" s="14" t="s">
        <v>84</v>
      </c>
      <c r="E94" s="15">
        <v>32</v>
      </c>
      <c r="F94" s="13"/>
    </row>
    <row r="95" spans="1:6">
      <c r="A95" s="12" t="s">
        <v>51</v>
      </c>
      <c r="B95" s="13">
        <v>22019</v>
      </c>
      <c r="C95" s="13">
        <v>13</v>
      </c>
      <c r="D95" s="30" t="s">
        <v>134</v>
      </c>
      <c r="E95" s="13">
        <v>2</v>
      </c>
      <c r="F95" s="32">
        <v>41703</v>
      </c>
    </row>
    <row r="96" spans="1:6">
      <c r="A96" s="8" t="s">
        <v>52</v>
      </c>
      <c r="B96" s="9">
        <v>47947</v>
      </c>
      <c r="C96" s="9">
        <v>17</v>
      </c>
      <c r="D96" s="16" t="s">
        <v>54</v>
      </c>
      <c r="E96" s="9">
        <v>3</v>
      </c>
      <c r="F96" s="9" t="s">
        <v>95</v>
      </c>
    </row>
    <row r="97" spans="1:6">
      <c r="A97" s="10"/>
      <c r="B97" s="11"/>
      <c r="C97" s="11">
        <v>3</v>
      </c>
      <c r="D97" s="21" t="s">
        <v>53</v>
      </c>
      <c r="E97" s="11">
        <v>1</v>
      </c>
      <c r="F97" s="11" t="s">
        <v>95</v>
      </c>
    </row>
    <row r="98" spans="1:6">
      <c r="A98" s="17"/>
      <c r="B98" s="18"/>
      <c r="C98" s="18">
        <v>12</v>
      </c>
      <c r="D98" s="19" t="s">
        <v>135</v>
      </c>
      <c r="E98" s="18">
        <v>1</v>
      </c>
      <c r="F98" s="18" t="s">
        <v>89</v>
      </c>
    </row>
    <row r="99" spans="1:6">
      <c r="A99" s="31"/>
      <c r="B99" s="13"/>
      <c r="C99" s="13"/>
      <c r="D99" s="35" t="s">
        <v>84</v>
      </c>
      <c r="E99" s="15">
        <v>5</v>
      </c>
      <c r="F99" s="13"/>
    </row>
    <row r="100" spans="1:6">
      <c r="A100" s="31" t="s">
        <v>136</v>
      </c>
      <c r="B100" s="13"/>
      <c r="C100" s="13" t="s">
        <v>98</v>
      </c>
      <c r="D100" s="31"/>
      <c r="E100" s="13"/>
      <c r="F100" s="13"/>
    </row>
    <row r="101" spans="1:6">
      <c r="A101" s="8" t="s">
        <v>55</v>
      </c>
      <c r="B101" s="9">
        <v>60817</v>
      </c>
      <c r="C101" s="9">
        <v>16</v>
      </c>
      <c r="D101" s="16" t="s">
        <v>57</v>
      </c>
      <c r="E101" s="9">
        <v>1</v>
      </c>
      <c r="F101" s="20">
        <v>41917</v>
      </c>
    </row>
    <row r="102" spans="1:6">
      <c r="A102" s="10"/>
      <c r="B102" s="11"/>
      <c r="C102" s="11">
        <v>15</v>
      </c>
      <c r="D102" s="21" t="s">
        <v>56</v>
      </c>
      <c r="E102" s="11">
        <v>1</v>
      </c>
      <c r="F102" s="22">
        <v>41917</v>
      </c>
    </row>
    <row r="103" spans="1:6">
      <c r="A103" s="17"/>
      <c r="B103" s="18"/>
      <c r="C103" s="18">
        <f>C102</f>
        <v>15</v>
      </c>
      <c r="D103" s="19" t="str">
        <f>D102</f>
        <v>Salem</v>
      </c>
      <c r="E103" s="18">
        <v>1</v>
      </c>
      <c r="F103" s="18" t="s">
        <v>83</v>
      </c>
    </row>
    <row r="104" spans="1:6">
      <c r="A104" s="12"/>
      <c r="B104" s="13"/>
      <c r="C104" s="13"/>
      <c r="D104" s="14" t="s">
        <v>84</v>
      </c>
      <c r="E104" s="15">
        <v>3</v>
      </c>
      <c r="F104" s="13"/>
    </row>
    <row r="105" spans="1:6">
      <c r="A105" s="8" t="s">
        <v>137</v>
      </c>
      <c r="B105" s="9"/>
      <c r="C105" s="9">
        <v>3</v>
      </c>
      <c r="D105" s="16" t="s">
        <v>138</v>
      </c>
      <c r="E105" s="9">
        <v>1</v>
      </c>
      <c r="F105" s="9" t="s">
        <v>81</v>
      </c>
    </row>
    <row r="106" spans="1:6">
      <c r="A106" s="10"/>
      <c r="B106" s="11"/>
      <c r="C106" s="11">
        <v>4</v>
      </c>
      <c r="D106" s="21" t="s">
        <v>1</v>
      </c>
      <c r="E106" s="11">
        <v>2</v>
      </c>
      <c r="F106" s="11" t="s">
        <v>81</v>
      </c>
    </row>
    <row r="107" spans="1:6">
      <c r="A107" s="17"/>
      <c r="B107" s="18"/>
      <c r="C107" s="18">
        <v>5</v>
      </c>
      <c r="D107" s="19" t="s">
        <v>2</v>
      </c>
      <c r="E107" s="18">
        <v>3</v>
      </c>
      <c r="F107" s="18" t="s">
        <v>81</v>
      </c>
    </row>
    <row r="108" spans="1:6">
      <c r="A108" s="12"/>
      <c r="B108" s="13"/>
      <c r="C108" s="13"/>
      <c r="D108" s="14" t="s">
        <v>84</v>
      </c>
      <c r="E108" s="15">
        <v>6</v>
      </c>
      <c r="F108" s="13"/>
    </row>
    <row r="109" spans="1:6">
      <c r="A109" s="12" t="s">
        <v>139</v>
      </c>
      <c r="B109" s="13"/>
      <c r="C109" s="13" t="s">
        <v>98</v>
      </c>
      <c r="D109" s="30"/>
      <c r="E109" s="13"/>
      <c r="F109" s="13"/>
    </row>
    <row r="110" spans="1:6">
      <c r="A110" s="8" t="s">
        <v>58</v>
      </c>
      <c r="B110" s="9">
        <v>140485</v>
      </c>
      <c r="C110" s="9">
        <v>18</v>
      </c>
      <c r="D110" s="16" t="s">
        <v>140</v>
      </c>
      <c r="E110" s="9">
        <v>1</v>
      </c>
      <c r="F110" s="9" t="s">
        <v>89</v>
      </c>
    </row>
    <row r="111" spans="1:6">
      <c r="A111" s="10"/>
      <c r="B111" s="11"/>
      <c r="C111" s="11">
        <v>52</v>
      </c>
      <c r="D111" s="21" t="s">
        <v>141</v>
      </c>
      <c r="E111" s="11">
        <v>1</v>
      </c>
      <c r="F111" s="22">
        <v>41978</v>
      </c>
    </row>
    <row r="112" spans="1:6">
      <c r="A112" s="10"/>
      <c r="B112" s="11"/>
      <c r="C112" s="11">
        <v>23</v>
      </c>
      <c r="D112" s="21" t="s">
        <v>62</v>
      </c>
      <c r="E112" s="11">
        <v>1</v>
      </c>
      <c r="F112" s="11" t="s">
        <v>81</v>
      </c>
    </row>
    <row r="113" spans="1:6">
      <c r="A113" s="10"/>
      <c r="B113" s="11"/>
      <c r="C113" s="11">
        <v>78</v>
      </c>
      <c r="D113" s="21" t="s">
        <v>63</v>
      </c>
      <c r="E113" s="11">
        <v>1</v>
      </c>
      <c r="F113" s="22">
        <v>41978</v>
      </c>
    </row>
    <row r="114" spans="1:6">
      <c r="A114" s="10"/>
      <c r="B114" s="11"/>
      <c r="C114" s="11">
        <v>41</v>
      </c>
      <c r="D114" s="21" t="s">
        <v>142</v>
      </c>
      <c r="E114" s="11">
        <v>2</v>
      </c>
      <c r="F114" s="11" t="s">
        <v>89</v>
      </c>
    </row>
    <row r="115" spans="1:6">
      <c r="A115" s="10"/>
      <c r="B115" s="11"/>
      <c r="C115" s="11">
        <v>20</v>
      </c>
      <c r="D115" s="21" t="s">
        <v>61</v>
      </c>
      <c r="E115" s="11">
        <v>3</v>
      </c>
      <c r="F115" s="11" t="s">
        <v>89</v>
      </c>
    </row>
    <row r="116" spans="1:6">
      <c r="A116" s="10"/>
      <c r="B116" s="11"/>
      <c r="C116" s="11">
        <f>C115</f>
        <v>20</v>
      </c>
      <c r="D116" s="21" t="str">
        <f>D115</f>
        <v>Firozabad</v>
      </c>
      <c r="E116" s="11">
        <v>1</v>
      </c>
      <c r="F116" s="11" t="s">
        <v>143</v>
      </c>
    </row>
    <row r="117" spans="1:6">
      <c r="A117" s="10"/>
      <c r="B117" s="11"/>
      <c r="C117" s="11">
        <f>C116</f>
        <v>20</v>
      </c>
      <c r="D117" s="21" t="str">
        <f>D116</f>
        <v>Firozabad</v>
      </c>
      <c r="E117" s="11">
        <v>7</v>
      </c>
      <c r="F117" s="11" t="s">
        <v>81</v>
      </c>
    </row>
    <row r="118" spans="1:6">
      <c r="A118" s="10"/>
      <c r="B118" s="11"/>
      <c r="C118" s="11">
        <v>3</v>
      </c>
      <c r="D118" s="21" t="s">
        <v>59</v>
      </c>
      <c r="E118" s="11">
        <v>3</v>
      </c>
      <c r="F118" s="11" t="s">
        <v>81</v>
      </c>
    </row>
    <row r="119" spans="1:6">
      <c r="A119" s="17"/>
      <c r="B119" s="18"/>
      <c r="C119" s="18">
        <v>7</v>
      </c>
      <c r="D119" s="19" t="s">
        <v>60</v>
      </c>
      <c r="E119" s="18">
        <v>2</v>
      </c>
      <c r="F119" s="18" t="s">
        <v>95</v>
      </c>
    </row>
    <row r="120" spans="1:6">
      <c r="A120" s="12"/>
      <c r="B120" s="13"/>
      <c r="C120" s="13"/>
      <c r="D120" s="14" t="s">
        <v>84</v>
      </c>
      <c r="E120" s="15">
        <f>SUM(E110:E119)</f>
        <v>22</v>
      </c>
      <c r="F120" s="13"/>
    </row>
    <row r="121" spans="1:6">
      <c r="A121" s="8" t="s">
        <v>64</v>
      </c>
      <c r="B121" s="9">
        <v>77252</v>
      </c>
      <c r="C121" s="9">
        <v>29</v>
      </c>
      <c r="D121" s="16" t="s">
        <v>144</v>
      </c>
      <c r="E121" s="9">
        <v>1</v>
      </c>
      <c r="F121" s="9" t="s">
        <v>81</v>
      </c>
    </row>
    <row r="122" spans="1:6">
      <c r="A122" s="10"/>
      <c r="B122" s="11"/>
      <c r="C122" s="11">
        <v>17</v>
      </c>
      <c r="D122" s="21" t="s">
        <v>67</v>
      </c>
      <c r="E122" s="11">
        <v>1</v>
      </c>
      <c r="F122" s="11" t="s">
        <v>83</v>
      </c>
    </row>
    <row r="123" spans="1:6">
      <c r="A123" s="10"/>
      <c r="B123" s="11"/>
      <c r="C123" s="11">
        <v>38</v>
      </c>
      <c r="D123" s="21" t="s">
        <v>145</v>
      </c>
      <c r="E123" s="11">
        <v>1</v>
      </c>
      <c r="F123" s="11" t="s">
        <v>81</v>
      </c>
    </row>
    <row r="124" spans="1:6">
      <c r="A124" s="10"/>
      <c r="B124" s="11"/>
      <c r="C124" s="11">
        <v>18</v>
      </c>
      <c r="D124" s="21" t="s">
        <v>68</v>
      </c>
      <c r="E124" s="11">
        <v>2</v>
      </c>
      <c r="F124" s="11" t="s">
        <v>83</v>
      </c>
    </row>
    <row r="125" spans="1:6">
      <c r="A125" s="10"/>
      <c r="B125" s="11"/>
      <c r="C125" s="11">
        <v>37</v>
      </c>
      <c r="D125" s="21" t="s">
        <v>146</v>
      </c>
      <c r="E125" s="11">
        <v>1</v>
      </c>
      <c r="F125" s="22">
        <v>41948</v>
      </c>
    </row>
    <row r="126" spans="1:6">
      <c r="A126" s="10"/>
      <c r="B126" s="11"/>
      <c r="C126" s="11">
        <v>41</v>
      </c>
      <c r="D126" s="21" t="s">
        <v>147</v>
      </c>
      <c r="E126" s="11">
        <v>1</v>
      </c>
      <c r="F126" s="11" t="s">
        <v>81</v>
      </c>
    </row>
    <row r="127" spans="1:6">
      <c r="A127" s="10"/>
      <c r="B127" s="11"/>
      <c r="C127" s="11">
        <v>39</v>
      </c>
      <c r="D127" s="21" t="s">
        <v>148</v>
      </c>
      <c r="E127" s="11">
        <v>4</v>
      </c>
      <c r="F127" s="11" t="str">
        <f>F126</f>
        <v>13/5/2014</v>
      </c>
    </row>
    <row r="128" spans="1:6">
      <c r="A128" s="10"/>
      <c r="B128" s="11"/>
      <c r="C128" s="11">
        <v>4</v>
      </c>
      <c r="D128" s="21" t="s">
        <v>65</v>
      </c>
      <c r="E128" s="11">
        <v>1</v>
      </c>
      <c r="F128" s="11" t="s">
        <v>95</v>
      </c>
    </row>
    <row r="129" spans="1:6">
      <c r="A129" s="10"/>
      <c r="B129" s="11"/>
      <c r="C129" s="11">
        <v>28</v>
      </c>
      <c r="D129" s="21" t="s">
        <v>69</v>
      </c>
      <c r="E129" s="11">
        <v>1</v>
      </c>
      <c r="F129" s="11" t="s">
        <v>81</v>
      </c>
    </row>
    <row r="130" spans="1:6">
      <c r="A130" s="10"/>
      <c r="B130" s="11"/>
      <c r="C130" s="11">
        <v>3</v>
      </c>
      <c r="D130" s="21" t="s">
        <v>149</v>
      </c>
      <c r="E130" s="11">
        <v>1</v>
      </c>
      <c r="F130" s="11" t="s">
        <v>95</v>
      </c>
    </row>
    <row r="131" spans="1:6">
      <c r="A131" s="10"/>
      <c r="B131" s="11"/>
      <c r="C131" s="11">
        <v>19</v>
      </c>
      <c r="D131" s="21" t="s">
        <v>150</v>
      </c>
      <c r="E131" s="11">
        <v>2</v>
      </c>
      <c r="F131" s="11" t="s">
        <v>83</v>
      </c>
    </row>
    <row r="132" spans="1:6">
      <c r="A132" s="17"/>
      <c r="B132" s="18"/>
      <c r="C132" s="18">
        <v>8</v>
      </c>
      <c r="D132" s="19" t="s">
        <v>66</v>
      </c>
      <c r="E132" s="18">
        <v>1</v>
      </c>
      <c r="F132" s="18" t="s">
        <v>151</v>
      </c>
    </row>
    <row r="133" spans="1:6">
      <c r="A133" s="12"/>
      <c r="B133" s="13"/>
      <c r="C133" s="13"/>
      <c r="D133" s="14" t="s">
        <v>84</v>
      </c>
      <c r="E133" s="15">
        <f>SUM(E121:E132)</f>
        <v>17</v>
      </c>
      <c r="F133" s="13"/>
    </row>
    <row r="134" spans="1:6">
      <c r="A134" s="12" t="s">
        <v>152</v>
      </c>
      <c r="B134" s="13">
        <v>21424</v>
      </c>
      <c r="C134" s="13">
        <v>10</v>
      </c>
      <c r="D134" s="30" t="s">
        <v>153</v>
      </c>
      <c r="E134" s="13">
        <v>1</v>
      </c>
      <c r="F134" s="13" t="s">
        <v>91</v>
      </c>
    </row>
    <row r="135" spans="1:6">
      <c r="A135" s="8" t="s">
        <v>70</v>
      </c>
      <c r="B135" s="9">
        <v>24751</v>
      </c>
      <c r="C135" s="9">
        <v>2</v>
      </c>
      <c r="D135" s="16" t="s">
        <v>71</v>
      </c>
      <c r="E135" s="9">
        <v>2</v>
      </c>
      <c r="F135" s="9" t="s">
        <v>89</v>
      </c>
    </row>
    <row r="136" spans="1:6">
      <c r="A136" s="17"/>
      <c r="B136" s="18"/>
      <c r="C136" s="18">
        <v>5</v>
      </c>
      <c r="D136" s="19" t="s">
        <v>72</v>
      </c>
      <c r="E136" s="18">
        <v>6</v>
      </c>
      <c r="F136" s="18" t="s">
        <v>154</v>
      </c>
    </row>
    <row r="137" spans="1:6">
      <c r="A137" s="12"/>
      <c r="B137" s="13"/>
      <c r="C137" s="13"/>
      <c r="D137" s="14" t="s">
        <v>84</v>
      </c>
      <c r="E137" s="15">
        <v>8</v>
      </c>
      <c r="F137" s="13"/>
    </row>
    <row r="138" spans="1:6">
      <c r="A138" s="8" t="s">
        <v>155</v>
      </c>
      <c r="B138" s="9"/>
      <c r="C138" s="9" t="s">
        <v>98</v>
      </c>
      <c r="D138" s="16"/>
      <c r="E138" s="9"/>
      <c r="F138" s="9"/>
    </row>
    <row r="139" spans="1:6">
      <c r="A139" s="10" t="s">
        <v>156</v>
      </c>
      <c r="B139" s="11"/>
      <c r="C139" s="11" t="s">
        <v>98</v>
      </c>
      <c r="D139" s="21"/>
      <c r="E139" s="11"/>
      <c r="F139" s="11"/>
    </row>
    <row r="140" spans="1:6">
      <c r="A140" s="10" t="s">
        <v>157</v>
      </c>
      <c r="B140" s="11"/>
      <c r="C140" s="11" t="s">
        <v>98</v>
      </c>
      <c r="D140" s="21"/>
      <c r="E140" s="11"/>
      <c r="F140" s="11"/>
    </row>
    <row r="141" spans="1:6">
      <c r="A141" s="10" t="s">
        <v>158</v>
      </c>
      <c r="B141" s="11"/>
      <c r="C141" s="11" t="s">
        <v>98</v>
      </c>
      <c r="D141" s="21"/>
      <c r="E141" s="11"/>
      <c r="F141" s="11"/>
    </row>
    <row r="142" spans="1:6">
      <c r="A142" s="10" t="s">
        <v>159</v>
      </c>
      <c r="B142" s="11"/>
      <c r="C142" s="11" t="s">
        <v>98</v>
      </c>
      <c r="D142" s="21"/>
      <c r="E142" s="11"/>
      <c r="F142" s="11"/>
    </row>
    <row r="143" spans="1:6">
      <c r="A143" s="10" t="s">
        <v>160</v>
      </c>
      <c r="B143" s="11"/>
      <c r="C143" s="11" t="s">
        <v>98</v>
      </c>
      <c r="D143" s="21"/>
      <c r="E143" s="11"/>
      <c r="F143" s="11"/>
    </row>
    <row r="144" spans="1:6">
      <c r="A144" s="10" t="s">
        <v>161</v>
      </c>
      <c r="B144" s="11"/>
      <c r="C144" s="11" t="s">
        <v>98</v>
      </c>
      <c r="D144" s="21"/>
      <c r="E144" s="11"/>
      <c r="F144" s="11"/>
    </row>
    <row r="145" spans="1:6">
      <c r="A145" s="17" t="s">
        <v>162</v>
      </c>
      <c r="B145" s="18"/>
      <c r="C145" s="18" t="s">
        <v>98</v>
      </c>
      <c r="D145" s="19"/>
      <c r="E145" s="18"/>
      <c r="F145" s="18"/>
    </row>
    <row r="146" spans="1:6" ht="18" thickBot="1">
      <c r="A146" s="36" t="s">
        <v>163</v>
      </c>
      <c r="B146" s="37"/>
      <c r="C146" s="37"/>
      <c r="D146" s="38" t="s">
        <v>164</v>
      </c>
      <c r="E146" s="39">
        <f>E12+E15+E27+E41+E43+E44+E59+E64+E71+E77+E80+E85+E94+E95+E99+E104+E108+E120+E133+E134+E137</f>
        <v>301</v>
      </c>
      <c r="F146" s="37"/>
    </row>
    <row r="147" spans="1:6" ht="15.75" thickTop="1"/>
  </sheetData>
  <mergeCells count="1">
    <mergeCell ref="A3:F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Re-poll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eci</cp:lastModifiedBy>
  <dcterms:created xsi:type="dcterms:W3CDTF">2016-12-06T11:28:12Z</dcterms:created>
  <dcterms:modified xsi:type="dcterms:W3CDTF">2016-12-22T08:25:48Z</dcterms:modified>
</cp:coreProperties>
</file>