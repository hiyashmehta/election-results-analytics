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artyWiseDepositForfeited" sheetId="2" r:id="rId1"/>
  </sheets>
  <calcPr calcId="125725"/>
</workbook>
</file>

<file path=xl/calcChain.xml><?xml version="1.0" encoding="utf-8"?>
<calcChain xmlns="http://schemas.openxmlformats.org/spreadsheetml/2006/main">
  <c r="G4" i="2"/>
  <c r="L4"/>
  <c r="Q4"/>
  <c r="G5"/>
  <c r="L5"/>
  <c r="Q5"/>
  <c r="G6"/>
  <c r="L6"/>
  <c r="Q6"/>
  <c r="G7"/>
  <c r="L7"/>
  <c r="Q7"/>
  <c r="G8"/>
  <c r="L8"/>
  <c r="Q8"/>
  <c r="G9"/>
  <c r="L9"/>
  <c r="Q9"/>
  <c r="G10"/>
  <c r="L10"/>
  <c r="Q10"/>
  <c r="G11"/>
  <c r="L11"/>
  <c r="Q11"/>
  <c r="G12"/>
  <c r="L12"/>
  <c r="Q12"/>
  <c r="G13"/>
  <c r="L13"/>
  <c r="Q13"/>
  <c r="G14"/>
  <c r="L14"/>
  <c r="Q14"/>
  <c r="G15"/>
  <c r="L15"/>
  <c r="Q15"/>
  <c r="G16"/>
  <c r="L16"/>
  <c r="Q16"/>
  <c r="G17"/>
  <c r="L17"/>
  <c r="Q17"/>
  <c r="G18"/>
  <c r="L18"/>
  <c r="Q18"/>
  <c r="G19"/>
  <c r="L19"/>
  <c r="Q19"/>
  <c r="G20"/>
  <c r="L20"/>
  <c r="Q20"/>
  <c r="G21"/>
  <c r="L21"/>
  <c r="Q21"/>
  <c r="G22"/>
  <c r="L22"/>
  <c r="Q22"/>
  <c r="G23"/>
  <c r="L23"/>
  <c r="Q23"/>
  <c r="G24"/>
  <c r="L24"/>
  <c r="Q24"/>
  <c r="G25"/>
  <c r="L25"/>
  <c r="Q25"/>
  <c r="G26"/>
  <c r="L26"/>
  <c r="Q26"/>
  <c r="G27"/>
  <c r="L27"/>
  <c r="Q27"/>
  <c r="G28"/>
  <c r="L28"/>
  <c r="Q28"/>
  <c r="G29"/>
  <c r="L29"/>
  <c r="Q29"/>
  <c r="G30"/>
  <c r="L30"/>
  <c r="Q30"/>
  <c r="G31"/>
  <c r="L31"/>
  <c r="Q31"/>
  <c r="G32"/>
  <c r="L32"/>
  <c r="Q32"/>
  <c r="G33"/>
  <c r="L33"/>
  <c r="Q33"/>
  <c r="G34"/>
  <c r="L34"/>
  <c r="Q34"/>
  <c r="G35"/>
  <c r="L35"/>
  <c r="Q35"/>
  <c r="G36"/>
  <c r="L36"/>
  <c r="Q36"/>
  <c r="G37"/>
  <c r="L37"/>
  <c r="Q37"/>
  <c r="G38"/>
  <c r="L38"/>
  <c r="Q38"/>
  <c r="B40"/>
  <c r="C40"/>
  <c r="D40"/>
  <c r="E40"/>
  <c r="F40"/>
  <c r="H40"/>
  <c r="I40"/>
  <c r="J40"/>
  <c r="K40"/>
  <c r="M40"/>
  <c r="N40"/>
  <c r="O40"/>
  <c r="P40"/>
  <c r="L40" l="1"/>
  <c r="G40"/>
  <c r="Q40"/>
</calcChain>
</file>

<file path=xl/sharedStrings.xml><?xml version="1.0" encoding="utf-8"?>
<sst xmlns="http://schemas.openxmlformats.org/spreadsheetml/2006/main" count="63" uniqueCount="53">
  <si>
    <t>POLITICAL PARTY WISE DEPOSIT FORFEITED</t>
  </si>
  <si>
    <t>Total No. Of Candidates</t>
  </si>
  <si>
    <t>Total No. Of Elected Candidates</t>
  </si>
  <si>
    <t>Total No. Of Candidates with Forfeiture Of Deposit</t>
  </si>
  <si>
    <t>STATE/UT</t>
  </si>
  <si>
    <t>NO. OF SEATS</t>
  </si>
  <si>
    <t>N</t>
  </si>
  <si>
    <t>S</t>
  </si>
  <si>
    <t>U</t>
  </si>
  <si>
    <t>I</t>
  </si>
  <si>
    <t>TOT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</si>
  <si>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</si>
  <si>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</si>
  <si>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</si>
  <si>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</si>
  <si>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</si>
  <si>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</si>
  <si>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</si>
  <si>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</si>
  <si>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</si>
  <si>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</si>
  <si>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</si>
  <si>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</si>
  <si>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</si>
  <si>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</si>
  <si>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</si>
  <si>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</si>
  <si>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</si>
  <si>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</si>
  <si>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</si>
  <si>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</si>
  <si>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</si>
  <si>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</si>
  <si>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</si>
  <si>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</si>
  <si>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</si>
  <si>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</si>
  <si>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</si>
  <si>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</si>
  <si>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</si>
  <si>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</si>
  <si>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</si>
  <si>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</si>
  <si>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</si>
  <si>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</si>
  <si>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</si>
  <si>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>GRAND TOTAL</t>
  </si>
  <si>
    <t xml:space="preserve">S : State Parties </t>
  </si>
  <si>
    <t xml:space="preserve">U : Registered (Unrecognised )Parties </t>
  </si>
  <si>
    <t xml:space="preserve">I : Independents </t>
  </si>
  <si>
    <t xml:space="preserve">TOT : Total </t>
  </si>
  <si>
    <t xml:space="preserve">N : National Parties </t>
  </si>
  <si>
    <t>Remarks: NOTA Votes not included in the total valid votes polled for candidates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</si>
</sst>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topLeftCell="A28" workbookViewId="0">
      <selection activeCell="I44" sqref="I44"/>
    </sheetView>
  </sheetViews>
  <sheetFormatPr defaultRowHeight="15"/>
  <cols>
    <col min="1" max="1" width="19.140625" customWidth="1"/>
  </cols>
  <sheetData>
    <row r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C2" s="1" t="s">
        <v>1</v>
      </c>
      <c r="D2" s="1"/>
      <c r="E2" s="1"/>
      <c r="F2" s="1"/>
      <c r="G2" s="1"/>
      <c r="H2" s="1" t="s">
        <v>2</v>
      </c>
      <c r="I2" s="1"/>
      <c r="J2" s="1"/>
      <c r="K2" s="1"/>
      <c r="L2" s="1"/>
      <c r="M2" s="1" t="s">
        <v>3</v>
      </c>
      <c r="N2" s="1"/>
      <c r="O2" s="1"/>
      <c r="P2" s="1"/>
      <c r="Q2" s="1"/>
    </row>
    <row r="3" spans="1:17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6</v>
      </c>
      <c r="N3" s="3" t="s">
        <v>7</v>
      </c>
      <c r="O3" s="3" t="s">
        <v>8</v>
      </c>
      <c r="P3" s="3" t="s">
        <v>9</v>
      </c>
      <c r="Q3" s="3" t="s">
        <v>10</v>
      </c>
    </row>
    <row r="4" spans="1:17">
      <c r="A4" t="s">
        <v>11</v>
      </c>
      <c r="B4">
        <v>42</v>
      </c>
      <c r="C4">
        <v>99</v>
      </c>
      <c r="D4">
        <v>47</v>
      </c>
      <c r="E4">
        <v>219</v>
      </c>
      <c r="F4">
        <v>233</v>
      </c>
      <c r="G4">
        <f t="shared" ref="G4:G38" si="0">C4+D4+E4+F4</f>
        <v>598</v>
      </c>
      <c r="H4">
        <v>5</v>
      </c>
      <c r="I4">
        <v>27</v>
      </c>
      <c r="J4">
        <v>10</v>
      </c>
      <c r="K4">
        <v>0</v>
      </c>
      <c r="L4">
        <f t="shared" ref="L4:L38" si="1">H4+I4+J4+K4</f>
        <v>42</v>
      </c>
      <c r="M4">
        <v>76</v>
      </c>
      <c r="N4">
        <v>5</v>
      </c>
      <c r="O4">
        <v>192</v>
      </c>
      <c r="P4">
        <v>233</v>
      </c>
      <c r="Q4">
        <f t="shared" ref="Q4:Q38" si="2">M4+N4+O4+P4</f>
        <v>506</v>
      </c>
    </row>
    <row r="5" spans="1:17">
      <c r="A5" t="s">
        <v>12</v>
      </c>
      <c r="B5">
        <v>2</v>
      </c>
      <c r="C5">
        <v>5</v>
      </c>
      <c r="D5">
        <v>3</v>
      </c>
      <c r="E5">
        <v>2</v>
      </c>
      <c r="F5">
        <v>1</v>
      </c>
      <c r="G5">
        <f t="shared" si="0"/>
        <v>11</v>
      </c>
      <c r="H5">
        <v>2</v>
      </c>
      <c r="I5">
        <v>0</v>
      </c>
      <c r="J5">
        <v>0</v>
      </c>
      <c r="K5">
        <v>0</v>
      </c>
      <c r="L5">
        <f t="shared" si="1"/>
        <v>2</v>
      </c>
      <c r="M5">
        <v>1</v>
      </c>
      <c r="N5">
        <v>3</v>
      </c>
      <c r="O5">
        <v>2</v>
      </c>
      <c r="P5">
        <v>1</v>
      </c>
      <c r="Q5">
        <f t="shared" si="2"/>
        <v>7</v>
      </c>
    </row>
    <row r="6" spans="1:17">
      <c r="A6" t="s">
        <v>13</v>
      </c>
      <c r="B6">
        <v>14</v>
      </c>
      <c r="C6">
        <v>30</v>
      </c>
      <c r="D6">
        <v>24</v>
      </c>
      <c r="E6">
        <v>50</v>
      </c>
      <c r="F6">
        <v>58</v>
      </c>
      <c r="G6">
        <f t="shared" si="0"/>
        <v>162</v>
      </c>
      <c r="H6">
        <v>10</v>
      </c>
      <c r="I6">
        <v>3</v>
      </c>
      <c r="J6">
        <v>0</v>
      </c>
      <c r="K6">
        <v>1</v>
      </c>
      <c r="L6">
        <f t="shared" si="1"/>
        <v>14</v>
      </c>
      <c r="M6">
        <v>4</v>
      </c>
      <c r="N6">
        <v>18</v>
      </c>
      <c r="O6">
        <v>50</v>
      </c>
      <c r="P6">
        <v>55</v>
      </c>
      <c r="Q6">
        <f t="shared" si="2"/>
        <v>127</v>
      </c>
    </row>
    <row r="7" spans="1:17">
      <c r="A7" t="s">
        <v>14</v>
      </c>
      <c r="B7">
        <v>40</v>
      </c>
      <c r="C7">
        <v>89</v>
      </c>
      <c r="D7">
        <v>72</v>
      </c>
      <c r="E7">
        <v>277</v>
      </c>
      <c r="F7">
        <v>169</v>
      </c>
      <c r="G7">
        <f t="shared" si="0"/>
        <v>607</v>
      </c>
      <c r="H7">
        <v>25</v>
      </c>
      <c r="I7">
        <v>12</v>
      </c>
      <c r="J7">
        <v>3</v>
      </c>
      <c r="K7">
        <v>0</v>
      </c>
      <c r="L7">
        <f t="shared" si="1"/>
        <v>40</v>
      </c>
      <c r="M7">
        <v>45</v>
      </c>
      <c r="N7">
        <v>24</v>
      </c>
      <c r="O7">
        <v>274</v>
      </c>
      <c r="P7">
        <v>169</v>
      </c>
      <c r="Q7">
        <f t="shared" si="2"/>
        <v>512</v>
      </c>
    </row>
    <row r="8" spans="1:17">
      <c r="A8" t="s">
        <v>15</v>
      </c>
      <c r="B8">
        <v>2</v>
      </c>
      <c r="C8">
        <v>6</v>
      </c>
      <c r="D8">
        <v>0</v>
      </c>
      <c r="E8">
        <v>7</v>
      </c>
      <c r="F8">
        <v>6</v>
      </c>
      <c r="G8">
        <f t="shared" si="0"/>
        <v>19</v>
      </c>
      <c r="H8">
        <v>2</v>
      </c>
      <c r="I8">
        <v>0</v>
      </c>
      <c r="J8">
        <v>0</v>
      </c>
      <c r="K8">
        <v>0</v>
      </c>
      <c r="L8">
        <f t="shared" si="1"/>
        <v>2</v>
      </c>
      <c r="M8">
        <v>2</v>
      </c>
      <c r="N8">
        <v>0</v>
      </c>
      <c r="O8">
        <v>7</v>
      </c>
      <c r="P8">
        <v>6</v>
      </c>
      <c r="Q8">
        <f t="shared" si="2"/>
        <v>15</v>
      </c>
    </row>
    <row r="9" spans="1:17">
      <c r="A9" t="s">
        <v>16</v>
      </c>
      <c r="B9">
        <v>26</v>
      </c>
      <c r="C9">
        <v>78</v>
      </c>
      <c r="D9">
        <v>0</v>
      </c>
      <c r="E9">
        <v>98</v>
      </c>
      <c r="F9">
        <v>158</v>
      </c>
      <c r="G9">
        <f t="shared" si="0"/>
        <v>334</v>
      </c>
      <c r="H9">
        <v>26</v>
      </c>
      <c r="I9">
        <v>0</v>
      </c>
      <c r="J9">
        <v>0</v>
      </c>
      <c r="K9">
        <v>0</v>
      </c>
      <c r="L9">
        <f t="shared" si="1"/>
        <v>26</v>
      </c>
      <c r="M9">
        <v>26</v>
      </c>
      <c r="N9">
        <v>0</v>
      </c>
      <c r="O9">
        <v>98</v>
      </c>
      <c r="P9">
        <v>158</v>
      </c>
      <c r="Q9">
        <f t="shared" si="2"/>
        <v>282</v>
      </c>
    </row>
    <row r="10" spans="1:17">
      <c r="A10" t="s">
        <v>17</v>
      </c>
      <c r="B10">
        <v>10</v>
      </c>
      <c r="C10">
        <v>33</v>
      </c>
      <c r="D10">
        <v>12</v>
      </c>
      <c r="E10">
        <v>64</v>
      </c>
      <c r="F10">
        <v>121</v>
      </c>
      <c r="G10">
        <f t="shared" si="0"/>
        <v>230</v>
      </c>
      <c r="H10">
        <v>8</v>
      </c>
      <c r="I10">
        <v>2</v>
      </c>
      <c r="J10">
        <v>0</v>
      </c>
      <c r="K10">
        <v>0</v>
      </c>
      <c r="L10">
        <f t="shared" si="1"/>
        <v>10</v>
      </c>
      <c r="M10">
        <v>18</v>
      </c>
      <c r="N10">
        <v>4</v>
      </c>
      <c r="O10">
        <v>64</v>
      </c>
      <c r="P10">
        <v>121</v>
      </c>
      <c r="Q10">
        <f t="shared" si="2"/>
        <v>207</v>
      </c>
    </row>
    <row r="11" spans="1:17">
      <c r="A11" t="s">
        <v>18</v>
      </c>
      <c r="B11">
        <v>4</v>
      </c>
      <c r="C11">
        <v>14</v>
      </c>
      <c r="D11">
        <v>0</v>
      </c>
      <c r="E11">
        <v>13</v>
      </c>
      <c r="F11">
        <v>11</v>
      </c>
      <c r="G11">
        <f t="shared" si="0"/>
        <v>38</v>
      </c>
      <c r="H11">
        <v>4</v>
      </c>
      <c r="I11">
        <v>0</v>
      </c>
      <c r="J11">
        <v>0</v>
      </c>
      <c r="K11">
        <v>0</v>
      </c>
      <c r="L11">
        <f t="shared" si="1"/>
        <v>4</v>
      </c>
      <c r="M11">
        <v>6</v>
      </c>
      <c r="N11">
        <v>0</v>
      </c>
      <c r="O11">
        <v>13</v>
      </c>
      <c r="P11">
        <v>11</v>
      </c>
      <c r="Q11">
        <f t="shared" si="2"/>
        <v>30</v>
      </c>
    </row>
    <row r="12" spans="1:17">
      <c r="A12" t="s">
        <v>19</v>
      </c>
      <c r="B12">
        <v>6</v>
      </c>
      <c r="C12">
        <v>13</v>
      </c>
      <c r="D12">
        <v>13</v>
      </c>
      <c r="E12">
        <v>18</v>
      </c>
      <c r="F12">
        <v>33</v>
      </c>
      <c r="G12">
        <f t="shared" si="0"/>
        <v>77</v>
      </c>
      <c r="H12">
        <v>3</v>
      </c>
      <c r="I12">
        <v>3</v>
      </c>
      <c r="J12">
        <v>0</v>
      </c>
      <c r="K12">
        <v>0</v>
      </c>
      <c r="L12">
        <f t="shared" si="1"/>
        <v>6</v>
      </c>
      <c r="M12">
        <v>7</v>
      </c>
      <c r="N12">
        <v>7</v>
      </c>
      <c r="O12">
        <v>18</v>
      </c>
      <c r="P12">
        <v>31</v>
      </c>
      <c r="Q12">
        <f t="shared" si="2"/>
        <v>63</v>
      </c>
    </row>
    <row r="13" spans="1:17">
      <c r="A13" t="s">
        <v>20</v>
      </c>
      <c r="B13">
        <v>28</v>
      </c>
      <c r="C13">
        <v>90</v>
      </c>
      <c r="D13">
        <v>25</v>
      </c>
      <c r="E13">
        <v>123</v>
      </c>
      <c r="F13">
        <v>196</v>
      </c>
      <c r="G13">
        <f t="shared" si="0"/>
        <v>434</v>
      </c>
      <c r="H13">
        <v>26</v>
      </c>
      <c r="I13">
        <v>2</v>
      </c>
      <c r="J13">
        <v>0</v>
      </c>
      <c r="K13">
        <v>0</v>
      </c>
      <c r="L13">
        <f t="shared" si="1"/>
        <v>28</v>
      </c>
      <c r="M13">
        <v>36</v>
      </c>
      <c r="N13">
        <v>17</v>
      </c>
      <c r="O13">
        <v>123</v>
      </c>
      <c r="P13">
        <v>196</v>
      </c>
      <c r="Q13">
        <f t="shared" si="2"/>
        <v>372</v>
      </c>
    </row>
    <row r="14" spans="1:17">
      <c r="A14" t="s">
        <v>21</v>
      </c>
      <c r="B14">
        <v>20</v>
      </c>
      <c r="C14">
        <v>67</v>
      </c>
      <c r="D14">
        <v>4</v>
      </c>
      <c r="E14">
        <v>75</v>
      </c>
      <c r="F14">
        <v>123</v>
      </c>
      <c r="G14">
        <f t="shared" si="0"/>
        <v>269</v>
      </c>
      <c r="H14">
        <v>14</v>
      </c>
      <c r="I14">
        <v>3</v>
      </c>
      <c r="J14">
        <v>1</v>
      </c>
      <c r="K14">
        <v>2</v>
      </c>
      <c r="L14">
        <f t="shared" si="1"/>
        <v>20</v>
      </c>
      <c r="M14">
        <v>36</v>
      </c>
      <c r="N14">
        <v>0</v>
      </c>
      <c r="O14">
        <v>73</v>
      </c>
      <c r="P14">
        <v>118</v>
      </c>
      <c r="Q14">
        <f t="shared" si="2"/>
        <v>227</v>
      </c>
    </row>
    <row r="15" spans="1:17">
      <c r="A15" t="s">
        <v>22</v>
      </c>
      <c r="B15">
        <v>29</v>
      </c>
      <c r="C15">
        <v>94</v>
      </c>
      <c r="D15">
        <v>0</v>
      </c>
      <c r="E15">
        <v>158</v>
      </c>
      <c r="F15">
        <v>126</v>
      </c>
      <c r="G15">
        <f t="shared" si="0"/>
        <v>378</v>
      </c>
      <c r="H15">
        <v>29</v>
      </c>
      <c r="I15">
        <v>0</v>
      </c>
      <c r="J15">
        <v>0</v>
      </c>
      <c r="K15">
        <v>0</v>
      </c>
      <c r="L15">
        <f t="shared" si="1"/>
        <v>29</v>
      </c>
      <c r="M15">
        <v>34</v>
      </c>
      <c r="N15">
        <v>0</v>
      </c>
      <c r="O15">
        <v>158</v>
      </c>
      <c r="P15">
        <v>126</v>
      </c>
      <c r="Q15">
        <f t="shared" si="2"/>
        <v>318</v>
      </c>
    </row>
    <row r="16" spans="1:17">
      <c r="A16" t="s">
        <v>23</v>
      </c>
      <c r="B16">
        <v>48</v>
      </c>
      <c r="C16">
        <v>127</v>
      </c>
      <c r="D16">
        <v>30</v>
      </c>
      <c r="E16">
        <v>296</v>
      </c>
      <c r="F16">
        <v>444</v>
      </c>
      <c r="G16">
        <f t="shared" si="0"/>
        <v>897</v>
      </c>
      <c r="H16">
        <v>29</v>
      </c>
      <c r="I16">
        <v>18</v>
      </c>
      <c r="J16">
        <v>1</v>
      </c>
      <c r="K16">
        <v>0</v>
      </c>
      <c r="L16">
        <f t="shared" si="1"/>
        <v>48</v>
      </c>
      <c r="M16">
        <v>57</v>
      </c>
      <c r="N16">
        <v>10</v>
      </c>
      <c r="O16">
        <v>289</v>
      </c>
      <c r="P16">
        <v>444</v>
      </c>
      <c r="Q16">
        <f t="shared" si="2"/>
        <v>800</v>
      </c>
    </row>
    <row r="17" spans="1:17">
      <c r="A17" t="s">
        <v>24</v>
      </c>
      <c r="B17">
        <v>2</v>
      </c>
      <c r="C17">
        <v>6</v>
      </c>
      <c r="D17">
        <v>3</v>
      </c>
      <c r="E17">
        <v>5</v>
      </c>
      <c r="F17">
        <v>4</v>
      </c>
      <c r="G17">
        <f t="shared" si="0"/>
        <v>18</v>
      </c>
      <c r="H17">
        <v>2</v>
      </c>
      <c r="I17">
        <v>0</v>
      </c>
      <c r="J17">
        <v>0</v>
      </c>
      <c r="K17">
        <v>0</v>
      </c>
      <c r="L17">
        <f t="shared" si="1"/>
        <v>2</v>
      </c>
      <c r="M17">
        <v>3</v>
      </c>
      <c r="N17">
        <v>2</v>
      </c>
      <c r="O17">
        <v>5</v>
      </c>
      <c r="P17">
        <v>4</v>
      </c>
      <c r="Q17">
        <f t="shared" si="2"/>
        <v>14</v>
      </c>
    </row>
    <row r="18" spans="1:17">
      <c r="A18" t="s">
        <v>25</v>
      </c>
      <c r="B18">
        <v>2</v>
      </c>
      <c r="C18">
        <v>4</v>
      </c>
      <c r="D18">
        <v>2</v>
      </c>
      <c r="E18">
        <v>1</v>
      </c>
      <c r="F18">
        <v>3</v>
      </c>
      <c r="G18">
        <f t="shared" si="0"/>
        <v>10</v>
      </c>
      <c r="H18">
        <v>1</v>
      </c>
      <c r="I18">
        <v>1</v>
      </c>
      <c r="J18">
        <v>0</v>
      </c>
      <c r="K18">
        <v>0</v>
      </c>
      <c r="L18">
        <f t="shared" si="1"/>
        <v>2</v>
      </c>
      <c r="M18">
        <v>2</v>
      </c>
      <c r="N18">
        <v>0</v>
      </c>
      <c r="O18">
        <v>1</v>
      </c>
      <c r="P18">
        <v>2</v>
      </c>
      <c r="Q18">
        <f t="shared" si="2"/>
        <v>5</v>
      </c>
    </row>
    <row r="19" spans="1:17">
      <c r="A19" t="s">
        <v>26</v>
      </c>
      <c r="B19">
        <v>1</v>
      </c>
      <c r="C19">
        <v>1</v>
      </c>
      <c r="D19">
        <v>0</v>
      </c>
      <c r="E19">
        <v>1</v>
      </c>
      <c r="F19">
        <v>1</v>
      </c>
      <c r="G19">
        <f t="shared" si="0"/>
        <v>3</v>
      </c>
      <c r="H19">
        <v>1</v>
      </c>
      <c r="I19">
        <v>0</v>
      </c>
      <c r="J19">
        <v>0</v>
      </c>
      <c r="K19">
        <v>0</v>
      </c>
      <c r="L19">
        <f t="shared" si="1"/>
        <v>1</v>
      </c>
      <c r="M19">
        <v>0</v>
      </c>
      <c r="N19">
        <v>0</v>
      </c>
      <c r="O19">
        <v>1</v>
      </c>
      <c r="P19">
        <v>0</v>
      </c>
      <c r="Q19">
        <f t="shared" si="2"/>
        <v>1</v>
      </c>
    </row>
    <row r="20" spans="1:17">
      <c r="A20" t="s">
        <v>27</v>
      </c>
      <c r="B20">
        <v>1</v>
      </c>
      <c r="C20">
        <v>1</v>
      </c>
      <c r="D20">
        <v>1</v>
      </c>
      <c r="E20">
        <v>1</v>
      </c>
      <c r="F20">
        <v>0</v>
      </c>
      <c r="G20">
        <f t="shared" si="0"/>
        <v>3</v>
      </c>
      <c r="H20">
        <v>0</v>
      </c>
      <c r="I20">
        <v>1</v>
      </c>
      <c r="J20">
        <v>0</v>
      </c>
      <c r="K20">
        <v>0</v>
      </c>
      <c r="L20">
        <f t="shared" si="1"/>
        <v>1</v>
      </c>
      <c r="M20">
        <v>0</v>
      </c>
      <c r="N20">
        <v>0</v>
      </c>
      <c r="O20">
        <v>1</v>
      </c>
      <c r="P20">
        <v>0</v>
      </c>
      <c r="Q20">
        <f t="shared" si="2"/>
        <v>1</v>
      </c>
    </row>
    <row r="21" spans="1:17">
      <c r="A21" t="s">
        <v>28</v>
      </c>
      <c r="B21">
        <v>21</v>
      </c>
      <c r="C21">
        <v>68</v>
      </c>
      <c r="D21">
        <v>21</v>
      </c>
      <c r="E21">
        <v>75</v>
      </c>
      <c r="F21">
        <v>32</v>
      </c>
      <c r="G21">
        <f t="shared" si="0"/>
        <v>196</v>
      </c>
      <c r="H21">
        <v>1</v>
      </c>
      <c r="I21">
        <v>20</v>
      </c>
      <c r="J21">
        <v>0</v>
      </c>
      <c r="K21">
        <v>0</v>
      </c>
      <c r="L21">
        <f t="shared" si="1"/>
        <v>21</v>
      </c>
      <c r="M21">
        <v>36</v>
      </c>
      <c r="N21">
        <v>0</v>
      </c>
      <c r="O21">
        <v>74</v>
      </c>
      <c r="P21">
        <v>32</v>
      </c>
      <c r="Q21">
        <f t="shared" si="2"/>
        <v>142</v>
      </c>
    </row>
    <row r="22" spans="1:17">
      <c r="A22" t="s">
        <v>29</v>
      </c>
      <c r="B22">
        <v>13</v>
      </c>
      <c r="C22">
        <v>38</v>
      </c>
      <c r="D22">
        <v>10</v>
      </c>
      <c r="E22">
        <v>87</v>
      </c>
      <c r="F22">
        <v>118</v>
      </c>
      <c r="G22">
        <f t="shared" si="0"/>
        <v>253</v>
      </c>
      <c r="H22">
        <v>5</v>
      </c>
      <c r="I22">
        <v>4</v>
      </c>
      <c r="J22">
        <v>4</v>
      </c>
      <c r="K22">
        <v>0</v>
      </c>
      <c r="L22">
        <f t="shared" si="1"/>
        <v>13</v>
      </c>
      <c r="M22">
        <v>23</v>
      </c>
      <c r="N22">
        <v>0</v>
      </c>
      <c r="O22">
        <v>78</v>
      </c>
      <c r="P22">
        <v>117</v>
      </c>
      <c r="Q22">
        <f t="shared" si="2"/>
        <v>218</v>
      </c>
    </row>
    <row r="23" spans="1:17">
      <c r="A23" t="s">
        <v>30</v>
      </c>
      <c r="B23">
        <v>25</v>
      </c>
      <c r="C23">
        <v>80</v>
      </c>
      <c r="D23">
        <v>0</v>
      </c>
      <c r="E23">
        <v>123</v>
      </c>
      <c r="F23">
        <v>117</v>
      </c>
      <c r="G23">
        <f t="shared" si="0"/>
        <v>320</v>
      </c>
      <c r="H23">
        <v>25</v>
      </c>
      <c r="I23">
        <v>0</v>
      </c>
      <c r="J23">
        <v>0</v>
      </c>
      <c r="K23">
        <v>0</v>
      </c>
      <c r="L23">
        <f t="shared" si="1"/>
        <v>25</v>
      </c>
      <c r="M23">
        <v>30</v>
      </c>
      <c r="N23">
        <v>0</v>
      </c>
      <c r="O23">
        <v>122</v>
      </c>
      <c r="P23">
        <v>114</v>
      </c>
      <c r="Q23">
        <f t="shared" si="2"/>
        <v>266</v>
      </c>
    </row>
    <row r="24" spans="1:17">
      <c r="A24" t="s">
        <v>31</v>
      </c>
      <c r="B24">
        <v>1</v>
      </c>
      <c r="C24">
        <v>2</v>
      </c>
      <c r="D24">
        <v>1</v>
      </c>
      <c r="E24">
        <v>3</v>
      </c>
      <c r="F24">
        <v>0</v>
      </c>
      <c r="G24">
        <f t="shared" si="0"/>
        <v>6</v>
      </c>
      <c r="H24">
        <v>0</v>
      </c>
      <c r="I24">
        <v>1</v>
      </c>
      <c r="J24">
        <v>0</v>
      </c>
      <c r="K24">
        <v>0</v>
      </c>
      <c r="L24">
        <f t="shared" si="1"/>
        <v>1</v>
      </c>
      <c r="M24">
        <v>2</v>
      </c>
      <c r="N24">
        <v>0</v>
      </c>
      <c r="O24">
        <v>2</v>
      </c>
      <c r="P24">
        <v>0</v>
      </c>
      <c r="Q24">
        <f t="shared" si="2"/>
        <v>4</v>
      </c>
    </row>
    <row r="25" spans="1:17">
      <c r="A25" t="s">
        <v>32</v>
      </c>
      <c r="B25">
        <v>39</v>
      </c>
      <c r="C25">
        <v>104</v>
      </c>
      <c r="D25">
        <v>87</v>
      </c>
      <c r="E25">
        <v>137</v>
      </c>
      <c r="F25">
        <v>517</v>
      </c>
      <c r="G25">
        <f t="shared" si="0"/>
        <v>845</v>
      </c>
      <c r="H25">
        <v>1</v>
      </c>
      <c r="I25">
        <v>37</v>
      </c>
      <c r="J25">
        <v>1</v>
      </c>
      <c r="K25">
        <v>0</v>
      </c>
      <c r="L25">
        <f t="shared" si="1"/>
        <v>39</v>
      </c>
      <c r="M25">
        <v>96</v>
      </c>
      <c r="N25">
        <v>13</v>
      </c>
      <c r="O25">
        <v>122</v>
      </c>
      <c r="P25">
        <v>517</v>
      </c>
      <c r="Q25">
        <f t="shared" si="2"/>
        <v>748</v>
      </c>
    </row>
    <row r="26" spans="1:17">
      <c r="A26" t="s">
        <v>33</v>
      </c>
      <c r="B26">
        <v>2</v>
      </c>
      <c r="C26">
        <v>6</v>
      </c>
      <c r="D26">
        <v>0</v>
      </c>
      <c r="E26">
        <v>15</v>
      </c>
      <c r="F26">
        <v>4</v>
      </c>
      <c r="G26">
        <f t="shared" si="0"/>
        <v>25</v>
      </c>
      <c r="H26">
        <v>2</v>
      </c>
      <c r="I26">
        <v>0</v>
      </c>
      <c r="J26">
        <v>0</v>
      </c>
      <c r="K26">
        <v>0</v>
      </c>
      <c r="L26">
        <f t="shared" si="1"/>
        <v>2</v>
      </c>
      <c r="M26">
        <v>4</v>
      </c>
      <c r="N26">
        <v>0</v>
      </c>
      <c r="O26">
        <v>15</v>
      </c>
      <c r="P26">
        <v>4</v>
      </c>
      <c r="Q26">
        <f t="shared" si="2"/>
        <v>23</v>
      </c>
    </row>
    <row r="27" spans="1:17">
      <c r="A27" t="s">
        <v>34</v>
      </c>
      <c r="B27">
        <v>80</v>
      </c>
      <c r="C27">
        <v>239</v>
      </c>
      <c r="D27">
        <v>86</v>
      </c>
      <c r="E27">
        <v>590</v>
      </c>
      <c r="F27">
        <v>373</v>
      </c>
      <c r="G27">
        <f t="shared" si="0"/>
        <v>1288</v>
      </c>
      <c r="H27">
        <v>73</v>
      </c>
      <c r="I27">
        <v>5</v>
      </c>
      <c r="J27">
        <v>2</v>
      </c>
      <c r="K27">
        <v>0</v>
      </c>
      <c r="L27">
        <f t="shared" si="1"/>
        <v>80</v>
      </c>
      <c r="M27">
        <v>101</v>
      </c>
      <c r="N27">
        <v>27</v>
      </c>
      <c r="O27">
        <v>586</v>
      </c>
      <c r="P27">
        <v>373</v>
      </c>
      <c r="Q27">
        <f t="shared" si="2"/>
        <v>1087</v>
      </c>
    </row>
    <row r="28" spans="1:17">
      <c r="A28" t="s">
        <v>35</v>
      </c>
      <c r="B28">
        <v>42</v>
      </c>
      <c r="C28">
        <v>157</v>
      </c>
      <c r="D28">
        <v>49</v>
      </c>
      <c r="E28">
        <v>183</v>
      </c>
      <c r="F28">
        <v>83</v>
      </c>
      <c r="G28">
        <f t="shared" si="0"/>
        <v>472</v>
      </c>
      <c r="H28">
        <v>8</v>
      </c>
      <c r="I28">
        <v>34</v>
      </c>
      <c r="J28">
        <v>0</v>
      </c>
      <c r="K28">
        <v>0</v>
      </c>
      <c r="L28">
        <f t="shared" si="1"/>
        <v>42</v>
      </c>
      <c r="M28">
        <v>95</v>
      </c>
      <c r="N28">
        <v>0</v>
      </c>
      <c r="O28">
        <v>183</v>
      </c>
      <c r="P28">
        <v>83</v>
      </c>
      <c r="Q28">
        <f t="shared" si="2"/>
        <v>361</v>
      </c>
    </row>
    <row r="29" spans="1:17">
      <c r="A29" t="s">
        <v>36</v>
      </c>
      <c r="B29">
        <v>11</v>
      </c>
      <c r="C29">
        <v>36</v>
      </c>
      <c r="D29">
        <v>0</v>
      </c>
      <c r="E29">
        <v>69</v>
      </c>
      <c r="F29">
        <v>106</v>
      </c>
      <c r="G29">
        <f t="shared" si="0"/>
        <v>211</v>
      </c>
      <c r="H29">
        <v>11</v>
      </c>
      <c r="I29">
        <v>0</v>
      </c>
      <c r="J29">
        <v>0</v>
      </c>
      <c r="K29">
        <v>0</v>
      </c>
      <c r="L29">
        <f t="shared" si="1"/>
        <v>11</v>
      </c>
      <c r="M29">
        <v>14</v>
      </c>
      <c r="N29">
        <v>0</v>
      </c>
      <c r="O29">
        <v>69</v>
      </c>
      <c r="P29">
        <v>106</v>
      </c>
      <c r="Q29">
        <f t="shared" si="2"/>
        <v>189</v>
      </c>
    </row>
    <row r="30" spans="1:17">
      <c r="A30" t="s">
        <v>37</v>
      </c>
      <c r="B30">
        <v>14</v>
      </c>
      <c r="C30">
        <v>42</v>
      </c>
      <c r="D30">
        <v>28</v>
      </c>
      <c r="E30">
        <v>93</v>
      </c>
      <c r="F30">
        <v>77</v>
      </c>
      <c r="G30">
        <f t="shared" si="0"/>
        <v>240</v>
      </c>
      <c r="H30">
        <v>12</v>
      </c>
      <c r="I30">
        <v>2</v>
      </c>
      <c r="J30">
        <v>0</v>
      </c>
      <c r="K30">
        <v>0</v>
      </c>
      <c r="L30">
        <f t="shared" si="1"/>
        <v>14</v>
      </c>
      <c r="M30">
        <v>22</v>
      </c>
      <c r="N30">
        <v>21</v>
      </c>
      <c r="O30">
        <v>89</v>
      </c>
      <c r="P30">
        <v>77</v>
      </c>
      <c r="Q30">
        <f t="shared" si="2"/>
        <v>209</v>
      </c>
    </row>
    <row r="31" spans="1:17">
      <c r="A31" t="s">
        <v>38</v>
      </c>
      <c r="B31">
        <v>5</v>
      </c>
      <c r="C31">
        <v>17</v>
      </c>
      <c r="D31">
        <v>0</v>
      </c>
      <c r="E31">
        <v>30</v>
      </c>
      <c r="F31">
        <v>27</v>
      </c>
      <c r="G31">
        <f t="shared" si="0"/>
        <v>74</v>
      </c>
      <c r="H31">
        <v>5</v>
      </c>
      <c r="I31">
        <v>0</v>
      </c>
      <c r="J31">
        <v>0</v>
      </c>
      <c r="K31">
        <v>0</v>
      </c>
      <c r="L31">
        <f t="shared" si="1"/>
        <v>5</v>
      </c>
      <c r="M31">
        <v>7</v>
      </c>
      <c r="N31">
        <v>0</v>
      </c>
      <c r="O31">
        <v>30</v>
      </c>
      <c r="P31">
        <v>27</v>
      </c>
      <c r="Q31">
        <f t="shared" si="2"/>
        <v>64</v>
      </c>
    </row>
    <row r="32" spans="1:17">
      <c r="A32" t="s">
        <v>39</v>
      </c>
      <c r="B32">
        <v>1</v>
      </c>
      <c r="C32">
        <v>5</v>
      </c>
      <c r="D32">
        <v>0</v>
      </c>
      <c r="E32">
        <v>5</v>
      </c>
      <c r="F32">
        <v>5</v>
      </c>
      <c r="G32">
        <f t="shared" si="0"/>
        <v>15</v>
      </c>
      <c r="H32">
        <v>1</v>
      </c>
      <c r="I32">
        <v>0</v>
      </c>
      <c r="J32">
        <v>0</v>
      </c>
      <c r="K32">
        <v>0</v>
      </c>
      <c r="L32">
        <f t="shared" si="1"/>
        <v>1</v>
      </c>
      <c r="M32">
        <v>3</v>
      </c>
      <c r="N32">
        <v>0</v>
      </c>
      <c r="O32">
        <v>5</v>
      </c>
      <c r="P32">
        <v>5</v>
      </c>
      <c r="Q32">
        <f t="shared" si="2"/>
        <v>13</v>
      </c>
    </row>
    <row r="33" spans="1:17">
      <c r="A33" t="s">
        <v>40</v>
      </c>
      <c r="B33">
        <v>1</v>
      </c>
      <c r="C33">
        <v>3</v>
      </c>
      <c r="D33">
        <v>0</v>
      </c>
      <c r="E33">
        <v>6</v>
      </c>
      <c r="F33">
        <v>8</v>
      </c>
      <c r="G33">
        <f t="shared" si="0"/>
        <v>17</v>
      </c>
      <c r="H33">
        <v>1</v>
      </c>
      <c r="I33">
        <v>0</v>
      </c>
      <c r="J33">
        <v>0</v>
      </c>
      <c r="K33">
        <v>0</v>
      </c>
      <c r="L33">
        <f t="shared" si="1"/>
        <v>1</v>
      </c>
      <c r="M33">
        <v>1</v>
      </c>
      <c r="N33">
        <v>0</v>
      </c>
      <c r="O33">
        <v>5</v>
      </c>
      <c r="P33">
        <v>8</v>
      </c>
      <c r="Q33">
        <f t="shared" si="2"/>
        <v>14</v>
      </c>
    </row>
    <row r="34" spans="1:17">
      <c r="A34" t="s">
        <v>41</v>
      </c>
      <c r="B34">
        <v>1</v>
      </c>
      <c r="C34">
        <v>4</v>
      </c>
      <c r="D34">
        <v>0</v>
      </c>
      <c r="E34">
        <v>4</v>
      </c>
      <c r="F34">
        <v>3</v>
      </c>
      <c r="G34">
        <f t="shared" si="0"/>
        <v>11</v>
      </c>
      <c r="H34">
        <v>1</v>
      </c>
      <c r="I34">
        <v>0</v>
      </c>
      <c r="J34">
        <v>0</v>
      </c>
      <c r="K34">
        <v>0</v>
      </c>
      <c r="L34">
        <f t="shared" si="1"/>
        <v>1</v>
      </c>
      <c r="M34">
        <v>2</v>
      </c>
      <c r="N34">
        <v>0</v>
      </c>
      <c r="O34">
        <v>4</v>
      </c>
      <c r="P34">
        <v>3</v>
      </c>
      <c r="Q34">
        <f t="shared" si="2"/>
        <v>9</v>
      </c>
    </row>
    <row r="35" spans="1:17">
      <c r="A35" t="s">
        <v>42</v>
      </c>
      <c r="B35">
        <v>1</v>
      </c>
      <c r="C35">
        <v>3</v>
      </c>
      <c r="D35">
        <v>0</v>
      </c>
      <c r="E35">
        <v>1</v>
      </c>
      <c r="F35">
        <v>0</v>
      </c>
      <c r="G35">
        <f t="shared" si="0"/>
        <v>4</v>
      </c>
      <c r="H35">
        <v>1</v>
      </c>
      <c r="I35">
        <v>0</v>
      </c>
      <c r="J35">
        <v>0</v>
      </c>
      <c r="K35">
        <v>0</v>
      </c>
      <c r="L35">
        <f t="shared" si="1"/>
        <v>1</v>
      </c>
      <c r="M35">
        <v>1</v>
      </c>
      <c r="N35">
        <v>0</v>
      </c>
      <c r="O35">
        <v>1</v>
      </c>
      <c r="P35">
        <v>0</v>
      </c>
      <c r="Q35">
        <f t="shared" si="2"/>
        <v>2</v>
      </c>
    </row>
    <row r="36" spans="1:17">
      <c r="A36" t="s">
        <v>43</v>
      </c>
      <c r="B36">
        <v>7</v>
      </c>
      <c r="C36">
        <v>22</v>
      </c>
      <c r="D36">
        <v>7</v>
      </c>
      <c r="E36">
        <v>63</v>
      </c>
      <c r="F36">
        <v>58</v>
      </c>
      <c r="G36">
        <f t="shared" si="0"/>
        <v>150</v>
      </c>
      <c r="H36">
        <v>7</v>
      </c>
      <c r="I36">
        <v>0</v>
      </c>
      <c r="J36">
        <v>0</v>
      </c>
      <c r="K36">
        <v>0</v>
      </c>
      <c r="L36">
        <f t="shared" si="1"/>
        <v>7</v>
      </c>
      <c r="M36">
        <v>12</v>
      </c>
      <c r="N36">
        <v>0</v>
      </c>
      <c r="O36">
        <v>63</v>
      </c>
      <c r="P36">
        <v>58</v>
      </c>
      <c r="Q36">
        <f t="shared" si="2"/>
        <v>133</v>
      </c>
    </row>
    <row r="37" spans="1:17">
      <c r="A37" t="s">
        <v>44</v>
      </c>
      <c r="B37">
        <v>1</v>
      </c>
      <c r="C37">
        <v>5</v>
      </c>
      <c r="D37">
        <v>0</v>
      </c>
      <c r="E37">
        <v>1</v>
      </c>
      <c r="F37">
        <v>0</v>
      </c>
      <c r="G37">
        <f t="shared" si="0"/>
        <v>6</v>
      </c>
      <c r="H37">
        <v>1</v>
      </c>
      <c r="I37">
        <v>0</v>
      </c>
      <c r="J37">
        <v>0</v>
      </c>
      <c r="K37">
        <v>0</v>
      </c>
      <c r="L37">
        <f t="shared" si="1"/>
        <v>1</v>
      </c>
      <c r="M37">
        <v>3</v>
      </c>
      <c r="N37">
        <v>0</v>
      </c>
      <c r="O37">
        <v>1</v>
      </c>
      <c r="P37">
        <v>0</v>
      </c>
      <c r="Q37">
        <f t="shared" si="2"/>
        <v>4</v>
      </c>
    </row>
    <row r="38" spans="1:17">
      <c r="A38" t="s">
        <v>45</v>
      </c>
      <c r="B38">
        <v>1</v>
      </c>
      <c r="C38">
        <v>3</v>
      </c>
      <c r="D38">
        <v>4</v>
      </c>
      <c r="E38">
        <v>4</v>
      </c>
      <c r="F38">
        <v>19</v>
      </c>
      <c r="G38">
        <f t="shared" si="0"/>
        <v>30</v>
      </c>
      <c r="H38">
        <v>0</v>
      </c>
      <c r="I38">
        <v>1</v>
      </c>
      <c r="J38">
        <v>0</v>
      </c>
      <c r="K38">
        <v>0</v>
      </c>
      <c r="L38">
        <f t="shared" si="1"/>
        <v>1</v>
      </c>
      <c r="M38">
        <v>2</v>
      </c>
      <c r="N38">
        <v>2</v>
      </c>
      <c r="O38">
        <v>4</v>
      </c>
      <c r="P38">
        <v>19</v>
      </c>
      <c r="Q38">
        <f t="shared" si="2"/>
        <v>27</v>
      </c>
    </row>
    <row r="40" spans="1:17">
      <c r="A40" t="s">
        <v>46</v>
      </c>
      <c r="B40">
        <f t="shared" ref="B40:G40" si="3">SUM(B4:B38)</f>
        <v>543</v>
      </c>
      <c r="C40">
        <f t="shared" si="3"/>
        <v>1591</v>
      </c>
      <c r="D40">
        <f t="shared" si="3"/>
        <v>529</v>
      </c>
      <c r="E40">
        <f t="shared" si="3"/>
        <v>2897</v>
      </c>
      <c r="F40">
        <f t="shared" si="3"/>
        <v>3234</v>
      </c>
      <c r="G40">
        <f t="shared" si="3"/>
        <v>8251</v>
      </c>
      <c r="H40">
        <f>SUM(H4:H38)</f>
        <v>342</v>
      </c>
      <c r="I40">
        <f>SUM(I4:I38)</f>
        <v>176</v>
      </c>
      <c r="J40">
        <f>SUM(J4:J38)</f>
        <v>22</v>
      </c>
      <c r="K40">
        <f>SUM(K4:K38)</f>
        <v>3</v>
      </c>
      <c r="L40">
        <f>SUM(L4:L38)</f>
        <v>543</v>
      </c>
      <c r="M40">
        <f>SUM(M4:M38)</f>
        <v>807</v>
      </c>
      <c r="N40">
        <f>SUM(N4:N38)</f>
        <v>153</v>
      </c>
      <c r="O40">
        <f>SUM(O4:O38)</f>
        <v>2822</v>
      </c>
      <c r="P40">
        <f>SUM(P4:P38)</f>
        <v>3218</v>
      </c>
      <c r="Q40">
        <f>SUM(Q4:Q38)</f>
        <v>7000</v>
      </c>
    </row>
    <row r="43" spans="1:17">
      <c r="B43" t="s">
        <v>51</v>
      </c>
    </row>
    <row r="44" spans="1:17">
      <c r="B44" t="s">
        <v>47</v>
      </c>
    </row>
    <row r="45" spans="1:17">
      <c r="B45" t="s">
        <v>48</v>
      </c>
    </row>
    <row r="46" spans="1:17">
      <c r="B46" t="s">
        <v>49</v>
      </c>
    </row>
    <row r="47" spans="1:17">
      <c r="B47" t="s">
        <v>50</v>
      </c>
    </row>
    <row r="49" spans="2:2">
      <c r="B49" t="s">
        <v>52</v>
      </c>
    </row>
  </sheetData>
  <mergeCells count="4">
    <mergeCell ref="C2:G2"/>
    <mergeCell ref="H2:L2"/>
    <mergeCell ref="M2:Q2"/>
    <mergeCell ref="A1:Q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PartyWiseDepositForfeited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2016-12-07T05:34:32Z</dcterms:created>
  <dcterms:modified xsi:type="dcterms:W3CDTF">2016-12-08T04:35:55Z</dcterms:modified>
</cp:coreProperties>
</file>